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i\Downloads\"/>
    </mc:Choice>
  </mc:AlternateContent>
  <xr:revisionPtr revIDLastSave="0" documentId="8_{193CCD35-50FB-443F-9C06-7F405C0C7C0D}" xr6:coauthVersionLast="47" xr6:coauthVersionMax="47" xr10:uidLastSave="{00000000-0000-0000-0000-000000000000}"/>
  <bookViews>
    <workbookView xWindow="-108" yWindow="-108" windowWidth="23256" windowHeight="12456" firstSheet="4" activeTab="5" xr2:uid="{16BD1AAA-C381-44B6-9829-8C4DC12CC7AF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Dashboard" sheetId="9" r:id="rId8"/>
    <sheet name="retail_sales_detective_raw" sheetId="1" r:id="rId9"/>
  </sheets>
  <definedNames>
    <definedName name="_xlnm._FilterDatabase" localSheetId="8" hidden="1">retail_sales_detective_raw!$A$1:$J$797</definedName>
    <definedName name="_xlnm.Criteria" localSheetId="8">retail_sales_detective_raw!$E:$E</definedName>
  </definedNames>
  <calcPr calcId="0"/>
  <pivotCaches>
    <pivotCache cacheId="39" r:id="rId10"/>
  </pivotCaches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4" i="8"/>
  <c r="E5" i="5"/>
  <c r="E6" i="5"/>
  <c r="E7" i="5"/>
  <c r="E8" i="5"/>
  <c r="E9" i="5"/>
  <c r="E10" i="5"/>
  <c r="E11" i="5"/>
  <c r="E12" i="5"/>
  <c r="E13" i="5"/>
  <c r="E14" i="5"/>
  <c r="E15" i="5"/>
  <c r="E16" i="5"/>
  <c r="E4" i="5"/>
  <c r="L24" i="1"/>
</calcChain>
</file>

<file path=xl/sharedStrings.xml><?xml version="1.0" encoding="utf-8"?>
<sst xmlns="http://schemas.openxmlformats.org/spreadsheetml/2006/main" count="3528" uniqueCount="232">
  <si>
    <t>order_id</t>
  </si>
  <si>
    <t>order_date</t>
  </si>
  <si>
    <t>customer_id</t>
  </si>
  <si>
    <t>product</t>
  </si>
  <si>
    <t>category</t>
  </si>
  <si>
    <t>region</t>
  </si>
  <si>
    <t>quantity</t>
  </si>
  <si>
    <t>sales</t>
  </si>
  <si>
    <t>discount</t>
  </si>
  <si>
    <t>profit</t>
  </si>
  <si>
    <t>C0072</t>
  </si>
  <si>
    <t>Pen Set</t>
  </si>
  <si>
    <t>Stationery</t>
  </si>
  <si>
    <t>West</t>
  </si>
  <si>
    <t>C0088</t>
  </si>
  <si>
    <t>Desk</t>
  </si>
  <si>
    <t>Furniture</t>
  </si>
  <si>
    <t>Office Chair</t>
  </si>
  <si>
    <t>South</t>
  </si>
  <si>
    <t>C0058</t>
  </si>
  <si>
    <t>Notebook</t>
  </si>
  <si>
    <t>East</t>
  </si>
  <si>
    <t>C0015</t>
  </si>
  <si>
    <t>Mouse</t>
  </si>
  <si>
    <t>Accessories</t>
  </si>
  <si>
    <t>C0131</t>
  </si>
  <si>
    <t>Headphones</t>
  </si>
  <si>
    <t>Electronics</t>
  </si>
  <si>
    <t>C0132</t>
  </si>
  <si>
    <t>C0130</t>
  </si>
  <si>
    <t>Smartphone</t>
  </si>
  <si>
    <t>C0081</t>
  </si>
  <si>
    <t>C0106</t>
  </si>
  <si>
    <t>C0044</t>
  </si>
  <si>
    <t>Keyboard</t>
  </si>
  <si>
    <t>C0082</t>
  </si>
  <si>
    <t>North</t>
  </si>
  <si>
    <t>C0124</t>
  </si>
  <si>
    <t>C0089</t>
  </si>
  <si>
    <t>C0139</t>
  </si>
  <si>
    <t>C0041</t>
  </si>
  <si>
    <t>Laptop</t>
  </si>
  <si>
    <t>C0048</t>
  </si>
  <si>
    <t>C0035</t>
  </si>
  <si>
    <t>C0001</t>
  </si>
  <si>
    <t>C0090</t>
  </si>
  <si>
    <t>C0036</t>
  </si>
  <si>
    <t>C0066</t>
  </si>
  <si>
    <t>C0108</t>
  </si>
  <si>
    <t>C0129</t>
  </si>
  <si>
    <t>C0103</t>
  </si>
  <si>
    <t>C0051</t>
  </si>
  <si>
    <t>Backpack</t>
  </si>
  <si>
    <t>C0113</t>
  </si>
  <si>
    <t>C0068</t>
  </si>
  <si>
    <t>C0024</t>
  </si>
  <si>
    <t>C0144</t>
  </si>
  <si>
    <t>C0003</t>
  </si>
  <si>
    <t>C0148</t>
  </si>
  <si>
    <t>C0039</t>
  </si>
  <si>
    <t>C0042</t>
  </si>
  <si>
    <t>C0060</t>
  </si>
  <si>
    <t>C0037</t>
  </si>
  <si>
    <t>C0116</t>
  </si>
  <si>
    <t>C0112</t>
  </si>
  <si>
    <t>C0054</t>
  </si>
  <si>
    <t>C0142</t>
  </si>
  <si>
    <t>C0115</t>
  </si>
  <si>
    <t>C0027</t>
  </si>
  <si>
    <t>C0111</t>
  </si>
  <si>
    <t>C0147</t>
  </si>
  <si>
    <t>C0046</t>
  </si>
  <si>
    <t>C0018</t>
  </si>
  <si>
    <t>C0104</t>
  </si>
  <si>
    <t>C0026</t>
  </si>
  <si>
    <t>C0135</t>
  </si>
  <si>
    <t>C0086</t>
  </si>
  <si>
    <t>C0150</t>
  </si>
  <si>
    <t>C0047</t>
  </si>
  <si>
    <t>C0092</t>
  </si>
  <si>
    <t>C0062</t>
  </si>
  <si>
    <t>C0122</t>
  </si>
  <si>
    <t>C0069</t>
  </si>
  <si>
    <t>C0101</t>
  </si>
  <si>
    <t>C0034</t>
  </si>
  <si>
    <t>west</t>
  </si>
  <si>
    <t>C0080</t>
  </si>
  <si>
    <t>C0084</t>
  </si>
  <si>
    <t>C0043</t>
  </si>
  <si>
    <t>C0075</t>
  </si>
  <si>
    <t>C0138</t>
  </si>
  <si>
    <t>C0096</t>
  </si>
  <si>
    <t>C0013</t>
  </si>
  <si>
    <t>C0019</t>
  </si>
  <si>
    <t>C0009</t>
  </si>
  <si>
    <t>C0117</t>
  </si>
  <si>
    <t>C0007</t>
  </si>
  <si>
    <t>C0136</t>
  </si>
  <si>
    <t>C0045</t>
  </si>
  <si>
    <t>C0091</t>
  </si>
  <si>
    <t>C0141</t>
  </si>
  <si>
    <t>C0127</t>
  </si>
  <si>
    <t>C0014</t>
  </si>
  <si>
    <t>C0016</t>
  </si>
  <si>
    <t>C0028</t>
  </si>
  <si>
    <t>C0109</t>
  </si>
  <si>
    <t>C0011</t>
  </si>
  <si>
    <t>C0098</t>
  </si>
  <si>
    <t>C0006</t>
  </si>
  <si>
    <t>C0083</t>
  </si>
  <si>
    <t>C0004</t>
  </si>
  <si>
    <t>C0133</t>
  </si>
  <si>
    <t>C0085</t>
  </si>
  <si>
    <t>C0038</t>
  </si>
  <si>
    <t>C0052</t>
  </si>
  <si>
    <t>C0145</t>
  </si>
  <si>
    <t>C0095</t>
  </si>
  <si>
    <t>C0025</t>
  </si>
  <si>
    <t>C0061</t>
  </si>
  <si>
    <t>C0073</t>
  </si>
  <si>
    <t>C0094</t>
  </si>
  <si>
    <t>C0064</t>
  </si>
  <si>
    <t>C0121</t>
  </si>
  <si>
    <t>C0031</t>
  </si>
  <si>
    <t>C0079</t>
  </si>
  <si>
    <t>C0020</t>
  </si>
  <si>
    <t>C0134</t>
  </si>
  <si>
    <t>C0078</t>
  </si>
  <si>
    <t>C0005</t>
  </si>
  <si>
    <t>C0023</t>
  </si>
  <si>
    <t>C0118</t>
  </si>
  <si>
    <t>C0076</t>
  </si>
  <si>
    <t>C0029</t>
  </si>
  <si>
    <t>C0057</t>
  </si>
  <si>
    <t>C0053</t>
  </si>
  <si>
    <t>C0128</t>
  </si>
  <si>
    <t>C0114</t>
  </si>
  <si>
    <t>C0049</t>
  </si>
  <si>
    <t>C0055</t>
  </si>
  <si>
    <t>C0008</t>
  </si>
  <si>
    <t>C0002</t>
  </si>
  <si>
    <t>C0119</t>
  </si>
  <si>
    <t>C0137</t>
  </si>
  <si>
    <t>C0022</t>
  </si>
  <si>
    <t>C0040</t>
  </si>
  <si>
    <t>C0143</t>
  </si>
  <si>
    <t>C0032</t>
  </si>
  <si>
    <t>C0059</t>
  </si>
  <si>
    <t>C0017</t>
  </si>
  <si>
    <t>C0123</t>
  </si>
  <si>
    <t>C0120</t>
  </si>
  <si>
    <t>C0063</t>
  </si>
  <si>
    <t>C0097</t>
  </si>
  <si>
    <t>C0100</t>
  </si>
  <si>
    <t>C0107</t>
  </si>
  <si>
    <t>C0077</t>
  </si>
  <si>
    <t>C0021</t>
  </si>
  <si>
    <t>C0087</t>
  </si>
  <si>
    <t>C0070</t>
  </si>
  <si>
    <t>C0093</t>
  </si>
  <si>
    <t>C0050</t>
  </si>
  <si>
    <t>C0099</t>
  </si>
  <si>
    <t>C0012</t>
  </si>
  <si>
    <t>C0149</t>
  </si>
  <si>
    <t>C0125</t>
  </si>
  <si>
    <t>C0102</t>
  </si>
  <si>
    <t>C0067</t>
  </si>
  <si>
    <t>C0010</t>
  </si>
  <si>
    <t>C0056</t>
  </si>
  <si>
    <t>WEST</t>
  </si>
  <si>
    <t>C0110</t>
  </si>
  <si>
    <t>C0065</t>
  </si>
  <si>
    <t>C0146</t>
  </si>
  <si>
    <t>C0030</t>
  </si>
  <si>
    <t>C0140</t>
  </si>
  <si>
    <t>C0105</t>
  </si>
  <si>
    <t>C0071</t>
  </si>
  <si>
    <t>C0126</t>
  </si>
  <si>
    <t>C0033</t>
  </si>
  <si>
    <t>C0074</t>
  </si>
  <si>
    <t>Unknown</t>
  </si>
  <si>
    <t>Row Labels</t>
  </si>
  <si>
    <t>(blank)</t>
  </si>
  <si>
    <t>Grand Total</t>
  </si>
  <si>
    <t>Sum of sales</t>
  </si>
  <si>
    <t>Sum of profit</t>
  </si>
  <si>
    <t>Sum of Profit margin</t>
  </si>
  <si>
    <t>Sum of quantity</t>
  </si>
  <si>
    <t>Column Labels</t>
  </si>
  <si>
    <t>Count of order_id</t>
  </si>
  <si>
    <t>Sum of Profit margine</t>
  </si>
  <si>
    <t>Average of discount</t>
  </si>
  <si>
    <t>Profit margine</t>
  </si>
  <si>
    <t>&lt;02-01-2025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</si>
  <si>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</si>
  <si>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</si>
  <si>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</si>
  <si>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</si>
  <si>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</si>
  <si>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</si>
  <si>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</si>
  <si>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</si>
  <si>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</si>
  <si>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</si>
  <si>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</si>
  <si>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</si>
  <si>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customer profit margine</t>
  </si>
  <si>
    <t>Average order value</t>
  </si>
  <si>
    <t>customer segment</t>
  </si>
  <si>
    <t>A</t>
  </si>
  <si>
    <t>B</t>
  </si>
  <si>
    <t>C</t>
  </si>
  <si>
    <t>D</t>
  </si>
  <si>
    <t>E</t>
  </si>
  <si>
    <t>Customer Segment</t>
  </si>
  <si>
    <t>Customers</t>
  </si>
  <si>
    <t>Revenue</t>
  </si>
  <si>
    <t>Profit</t>
  </si>
  <si>
    <t>Orders</t>
  </si>
  <si>
    <t>High Value</t>
  </si>
  <si>
    <t>Revenue Focus</t>
  </si>
  <si>
    <t>Margin Focus</t>
  </si>
  <si>
    <t>Low Value</t>
  </si>
  <si>
    <t>Profit Margin</t>
  </si>
  <si>
    <t>Month</t>
  </si>
  <si>
    <t>Category</t>
  </si>
  <si>
    <t>Region</t>
  </si>
  <si>
    <t>Product</t>
  </si>
  <si>
    <t>RETAIL SALES PERFORMANCE DASHBOARD</t>
  </si>
  <si>
    <t>2025 | Revenue • Profitability • Customers</t>
  </si>
  <si>
    <t>Quantity</t>
  </si>
  <si>
    <t>Profit Margine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</si>
</sst>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pivotButton="1" applyNumberFormat="1"/>
    <xf numFmtId="10" fontId="0" fillId="0" borderId="0" xfId="0" applyNumberForma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16" fillId="0" borderId="10" xfId="0" applyFont="1" applyBorder="1" applyAlignment="1">
      <alignment horizontal="left"/>
    </xf>
    <xf numFmtId="0" fontId="16" fillId="0" borderId="10" xfId="0" applyNumberFormat="1" applyFont="1" applyBorder="1"/>
    <xf numFmtId="0" fontId="19" fillId="0" borderId="0" xfId="0" applyFont="1" applyAlignment="1">
      <alignment horizontal="center"/>
    </xf>
    <xf numFmtId="6" fontId="19" fillId="0" borderId="0" xfId="0" applyNumberFormat="1" applyFont="1" applyAlignment="1">
      <alignment horizontal="center"/>
    </xf>
    <xf numFmtId="8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Detective Raw.csv.xlsx]Sheet5!PivotTable5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2980891</c:v>
                </c:pt>
                <c:pt idx="1">
                  <c:v>2549733.5</c:v>
                </c:pt>
                <c:pt idx="2">
                  <c:v>2637538</c:v>
                </c:pt>
                <c:pt idx="3">
                  <c:v>1494173</c:v>
                </c:pt>
                <c:pt idx="4">
                  <c:v>2074598</c:v>
                </c:pt>
                <c:pt idx="5">
                  <c:v>2379149</c:v>
                </c:pt>
                <c:pt idx="6">
                  <c:v>3273083</c:v>
                </c:pt>
                <c:pt idx="7">
                  <c:v>2235294.5</c:v>
                </c:pt>
                <c:pt idx="8">
                  <c:v>2214587.5</c:v>
                </c:pt>
                <c:pt idx="9">
                  <c:v>3029783</c:v>
                </c:pt>
                <c:pt idx="10">
                  <c:v>2080526.5</c:v>
                </c:pt>
                <c:pt idx="11">
                  <c:v>2285247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0-4B4E-BEA5-4A2F7BCDB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780656"/>
        <c:axId val="776123824"/>
      </c:lineChart>
      <c:catAx>
        <c:axId val="83478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23824"/>
        <c:crosses val="autoZero"/>
        <c:auto val="1"/>
        <c:lblAlgn val="ctr"/>
        <c:lblOffset val="100"/>
        <c:noMultiLvlLbl val="0"/>
      </c:catAx>
      <c:valAx>
        <c:axId val="7761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8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Sheet6!$B$20:$B$21</c:f>
              <c:strCache>
                <c:ptCount val="2"/>
                <c:pt idx="0">
                  <c:v>B</c:v>
                </c:pt>
                <c:pt idx="1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Sheet6!$B$22:$B$33</c:f>
              <c:numCache>
                <c:formatCode>General</c:formatCode>
                <c:ptCount val="12"/>
                <c:pt idx="0">
                  <c:v>2980891</c:v>
                </c:pt>
                <c:pt idx="1">
                  <c:v>2549733.5</c:v>
                </c:pt>
                <c:pt idx="2">
                  <c:v>2637538</c:v>
                </c:pt>
                <c:pt idx="3">
                  <c:v>1494173</c:v>
                </c:pt>
                <c:pt idx="4">
                  <c:v>2074598</c:v>
                </c:pt>
                <c:pt idx="5">
                  <c:v>2379149</c:v>
                </c:pt>
                <c:pt idx="6">
                  <c:v>3273083</c:v>
                </c:pt>
                <c:pt idx="7">
                  <c:v>2235294.5</c:v>
                </c:pt>
                <c:pt idx="8">
                  <c:v>2214587.5</c:v>
                </c:pt>
                <c:pt idx="9">
                  <c:v>3029783</c:v>
                </c:pt>
                <c:pt idx="10">
                  <c:v>2080526.5</c:v>
                </c:pt>
                <c:pt idx="11">
                  <c:v>2285247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F-420C-A4D4-C0F89057F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519280"/>
        <c:axId val="776104624"/>
      </c:lineChart>
      <c:catAx>
        <c:axId val="8545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04624"/>
        <c:crosses val="autoZero"/>
        <c:auto val="1"/>
        <c:lblAlgn val="ctr"/>
        <c:lblOffset val="100"/>
        <c:noMultiLvlLbl val="0"/>
      </c:catAx>
      <c:valAx>
        <c:axId val="7761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1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Sheet6!$A$38:$A$41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Stationery</c:v>
                </c:pt>
              </c:strCache>
            </c:strRef>
          </c:cat>
          <c:val>
            <c:numRef>
              <c:f>Sheet6!$B$38:$B$41</c:f>
              <c:numCache>
                <c:formatCode>General</c:formatCode>
                <c:ptCount val="4"/>
                <c:pt idx="0">
                  <c:v>22093600</c:v>
                </c:pt>
                <c:pt idx="1">
                  <c:v>6071850</c:v>
                </c:pt>
                <c:pt idx="2">
                  <c:v>1000590</c:v>
                </c:pt>
                <c:pt idx="3">
                  <c:v>90164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4-43F6-9B32-C69BC9592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533056"/>
        <c:axId val="434686800"/>
      </c:barChart>
      <c:catAx>
        <c:axId val="83253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86800"/>
        <c:crosses val="autoZero"/>
        <c:auto val="1"/>
        <c:lblAlgn val="ctr"/>
        <c:lblOffset val="100"/>
        <c:noMultiLvlLbl val="0"/>
      </c:catAx>
      <c:valAx>
        <c:axId val="4346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Sheet6!$B$54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Sheet6!$A$55:$A$58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Sheet6!$B$55:$B$58</c:f>
              <c:numCache>
                <c:formatCode>General</c:formatCode>
                <c:ptCount val="4"/>
                <c:pt idx="0">
                  <c:v>7626221.5</c:v>
                </c:pt>
                <c:pt idx="1">
                  <c:v>7581265</c:v>
                </c:pt>
                <c:pt idx="2">
                  <c:v>7127856.5</c:v>
                </c:pt>
                <c:pt idx="3">
                  <c:v>6920861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2-4696-BEB6-6C8EF90F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317696"/>
        <c:axId val="963897552"/>
      </c:barChart>
      <c:catAx>
        <c:axId val="10263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897552"/>
        <c:crosses val="autoZero"/>
        <c:auto val="1"/>
        <c:lblAlgn val="ctr"/>
        <c:lblOffset val="100"/>
        <c:noMultiLvlLbl val="0"/>
      </c:catAx>
      <c:valAx>
        <c:axId val="9638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1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Products by Revenue</a:t>
            </a:r>
            <a:endParaRPr lang="en-US"/>
          </a:p>
        </c:rich>
      </c:tx>
      <c:layout>
        <c:manualLayout>
          <c:xMode val="edge"/>
          <c:yMode val="edge"/>
          <c:x val="0.3096111111111111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Sheet6!$B$72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Sheet6!$A$73:$A$77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Office Chair</c:v>
                </c:pt>
                <c:pt idx="4">
                  <c:v>Headphones</c:v>
                </c:pt>
              </c:strCache>
            </c:strRef>
          </c:cat>
          <c:val>
            <c:numRef>
              <c:f>Sheet6!$B$73:$B$77</c:f>
              <c:numCache>
                <c:formatCode>General</c:formatCode>
                <c:ptCount val="5"/>
                <c:pt idx="0">
                  <c:v>15309250</c:v>
                </c:pt>
                <c:pt idx="1">
                  <c:v>5622000</c:v>
                </c:pt>
                <c:pt idx="2">
                  <c:v>3626250</c:v>
                </c:pt>
                <c:pt idx="3">
                  <c:v>2445600</c:v>
                </c:pt>
                <c:pt idx="4">
                  <c:v>1013850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7-4242-A486-0305BE8C3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238912"/>
        <c:axId val="963745872"/>
      </c:barChart>
      <c:catAx>
        <c:axId val="103423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45872"/>
        <c:crosses val="autoZero"/>
        <c:auto val="1"/>
        <c:lblAlgn val="ctr"/>
        <c:lblOffset val="100"/>
        <c:noMultiLvlLbl val="0"/>
      </c:catAx>
      <c:valAx>
        <c:axId val="9637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3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Margin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Sheet6!$B$88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Sheet6!$A$89:$A$99</c:f>
              <c:strCache>
                <c:ptCount val="11"/>
                <c:pt idx="0">
                  <c:v>Notebook</c:v>
                </c:pt>
                <c:pt idx="1">
                  <c:v>Pen Set</c:v>
                </c:pt>
                <c:pt idx="2">
                  <c:v>Mouse</c:v>
                </c:pt>
                <c:pt idx="3">
                  <c:v>Keyboard</c:v>
                </c:pt>
                <c:pt idx="4">
                  <c:v>Backpack</c:v>
                </c:pt>
                <c:pt idx="5">
                  <c:v>Desk</c:v>
                </c:pt>
                <c:pt idx="6">
                  <c:v>Office Chair</c:v>
                </c:pt>
                <c:pt idx="7">
                  <c:v>Unknown</c:v>
                </c:pt>
                <c:pt idx="8">
                  <c:v>Headphones</c:v>
                </c:pt>
                <c:pt idx="9">
                  <c:v>Smartphone</c:v>
                </c:pt>
                <c:pt idx="10">
                  <c:v>Laptop</c:v>
                </c:pt>
              </c:strCache>
            </c:strRef>
          </c:cat>
          <c:val>
            <c:numRef>
              <c:f>Sheet6!$B$89:$B$99</c:f>
              <c:numCache>
                <c:formatCode>0.00%</c:formatCode>
                <c:ptCount val="11"/>
                <c:pt idx="0">
                  <c:v>0.39389999999999997</c:v>
                </c:pt>
                <c:pt idx="1">
                  <c:v>0.3886</c:v>
                </c:pt>
                <c:pt idx="2">
                  <c:v>0.27760000000000001</c:v>
                </c:pt>
                <c:pt idx="3">
                  <c:v>0.26469999999999999</c:v>
                </c:pt>
                <c:pt idx="4">
                  <c:v>0.25750000000000001</c:v>
                </c:pt>
                <c:pt idx="5">
                  <c:v>0.20780000000000001</c:v>
                </c:pt>
                <c:pt idx="6">
                  <c:v>0.2051</c:v>
                </c:pt>
                <c:pt idx="7">
                  <c:v>8.8900000000000007E-2</c:v>
                </c:pt>
                <c:pt idx="8">
                  <c:v>8.6499999999999994E-2</c:v>
                </c:pt>
                <c:pt idx="9">
                  <c:v>8.5500000000000007E-2</c:v>
                </c:pt>
                <c:pt idx="10">
                  <c:v>8.3799999999999999E-2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6-403B-8D8D-E704D8DF9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266288"/>
        <c:axId val="963704112"/>
      </c:barChart>
      <c:catAx>
        <c:axId val="103426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04112"/>
        <c:crosses val="autoZero"/>
        <c:auto val="1"/>
        <c:lblAlgn val="ctr"/>
        <c:lblOffset val="100"/>
        <c:noMultiLvlLbl val="0"/>
      </c:catAx>
      <c:valAx>
        <c:axId val="96370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6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Customers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Sheet6!$A$107:$A$111</c:f>
              <c:strCache>
                <c:ptCount val="5"/>
                <c:pt idx="0">
                  <c:v>C0113</c:v>
                </c:pt>
                <c:pt idx="1">
                  <c:v>C0116</c:v>
                </c:pt>
                <c:pt idx="2">
                  <c:v>C0015</c:v>
                </c:pt>
                <c:pt idx="3">
                  <c:v>C0038</c:v>
                </c:pt>
                <c:pt idx="4">
                  <c:v>C0086</c:v>
                </c:pt>
              </c:strCache>
            </c:strRef>
          </c:cat>
          <c:val>
            <c:numRef>
              <c:f>Sheet6!$B$107:$B$111</c:f>
              <c:numCache>
                <c:formatCode>General</c:formatCode>
                <c:ptCount val="5"/>
                <c:pt idx="0">
                  <c:v>785775</c:v>
                </c:pt>
                <c:pt idx="1">
                  <c:v>691400</c:v>
                </c:pt>
                <c:pt idx="2">
                  <c:v>657990</c:v>
                </c:pt>
                <c:pt idx="3">
                  <c:v>615436</c:v>
                </c:pt>
                <c:pt idx="4">
                  <c:v>577663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0-4E2F-8E03-6EA86B839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800416"/>
        <c:axId val="963725712"/>
      </c:barChart>
      <c:catAx>
        <c:axId val="94980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25712"/>
        <c:crosses val="autoZero"/>
        <c:auto val="1"/>
        <c:lblAlgn val="ctr"/>
        <c:lblOffset val="100"/>
        <c:noMultiLvlLbl val="0"/>
      </c:catAx>
      <c:valAx>
        <c:axId val="96372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80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Sheet6!$B$20:$B$21</c:f>
              <c:strCache>
                <c:ptCount val="2"/>
                <c:pt idx="0">
                  <c:v>B</c:v>
                </c:pt>
                <c:pt idx="1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Sheet6!$B$22:$B$33</c:f>
              <c:numCache>
                <c:formatCode>General</c:formatCode>
                <c:ptCount val="12"/>
                <c:pt idx="0">
                  <c:v>2980891</c:v>
                </c:pt>
                <c:pt idx="1">
                  <c:v>2549733.5</c:v>
                </c:pt>
                <c:pt idx="2">
                  <c:v>2637538</c:v>
                </c:pt>
                <c:pt idx="3">
                  <c:v>1494173</c:v>
                </c:pt>
                <c:pt idx="4">
                  <c:v>2074598</c:v>
                </c:pt>
                <c:pt idx="5">
                  <c:v>2379149</c:v>
                </c:pt>
                <c:pt idx="6">
                  <c:v>3273083</c:v>
                </c:pt>
                <c:pt idx="7">
                  <c:v>2235294.5</c:v>
                </c:pt>
                <c:pt idx="8">
                  <c:v>2214587.5</c:v>
                </c:pt>
                <c:pt idx="9">
                  <c:v>3029783</c:v>
                </c:pt>
                <c:pt idx="10">
                  <c:v>2080526.5</c:v>
                </c:pt>
                <c:pt idx="11">
                  <c:v>2285247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4-4ECC-A172-F678B2ED4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519280"/>
        <c:axId val="776104624"/>
      </c:lineChart>
      <c:catAx>
        <c:axId val="8545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04624"/>
        <c:crosses val="autoZero"/>
        <c:auto val="1"/>
        <c:lblAlgn val="ctr"/>
        <c:lblOffset val="100"/>
        <c:noMultiLvlLbl val="0"/>
      </c:catAx>
      <c:valAx>
        <c:axId val="7761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1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Sheet6!$A$38:$A$41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Stationery</c:v>
                </c:pt>
              </c:strCache>
            </c:strRef>
          </c:cat>
          <c:val>
            <c:numRef>
              <c:f>Sheet6!$B$38:$B$41</c:f>
              <c:numCache>
                <c:formatCode>General</c:formatCode>
                <c:ptCount val="4"/>
                <c:pt idx="0">
                  <c:v>22093600</c:v>
                </c:pt>
                <c:pt idx="1">
                  <c:v>6071850</c:v>
                </c:pt>
                <c:pt idx="2">
                  <c:v>1000590</c:v>
                </c:pt>
                <c:pt idx="3">
                  <c:v>90164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A-4C13-87D3-9079AE22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533056"/>
        <c:axId val="434686800"/>
      </c:barChart>
      <c:catAx>
        <c:axId val="83253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86800"/>
        <c:crosses val="autoZero"/>
        <c:auto val="1"/>
        <c:lblAlgn val="ctr"/>
        <c:lblOffset val="100"/>
        <c:noMultiLvlLbl val="0"/>
      </c:catAx>
      <c:valAx>
        <c:axId val="4346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Sheet6!$B$54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Sheet6!$A$55:$A$58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Sheet6!$B$55:$B$58</c:f>
              <c:numCache>
                <c:formatCode>General</c:formatCode>
                <c:ptCount val="4"/>
                <c:pt idx="0">
                  <c:v>7626221.5</c:v>
                </c:pt>
                <c:pt idx="1">
                  <c:v>7581265</c:v>
                </c:pt>
                <c:pt idx="2">
                  <c:v>7127856.5</c:v>
                </c:pt>
                <c:pt idx="3">
                  <c:v>6920861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7-46F4-A593-8991D0367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317696"/>
        <c:axId val="963897552"/>
      </c:barChart>
      <c:catAx>
        <c:axId val="10263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897552"/>
        <c:crosses val="autoZero"/>
        <c:auto val="1"/>
        <c:lblAlgn val="ctr"/>
        <c:lblOffset val="100"/>
        <c:noMultiLvlLbl val="0"/>
      </c:catAx>
      <c:valAx>
        <c:axId val="9638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1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Products by Revenue</a:t>
            </a:r>
            <a:endParaRPr lang="en-US"/>
          </a:p>
        </c:rich>
      </c:tx>
      <c:layout>
        <c:manualLayout>
          <c:xMode val="edge"/>
          <c:yMode val="edge"/>
          <c:x val="0.3096111111111111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Sheet6!$B$72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Sheet6!$A$73:$A$77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Office Chair</c:v>
                </c:pt>
                <c:pt idx="4">
                  <c:v>Headphones</c:v>
                </c:pt>
              </c:strCache>
            </c:strRef>
          </c:cat>
          <c:val>
            <c:numRef>
              <c:f>Sheet6!$B$73:$B$77</c:f>
              <c:numCache>
                <c:formatCode>General</c:formatCode>
                <c:ptCount val="5"/>
                <c:pt idx="0">
                  <c:v>15309250</c:v>
                </c:pt>
                <c:pt idx="1">
                  <c:v>5622000</c:v>
                </c:pt>
                <c:pt idx="2">
                  <c:v>3626250</c:v>
                </c:pt>
                <c:pt idx="3">
                  <c:v>2445600</c:v>
                </c:pt>
                <c:pt idx="4">
                  <c:v>1013850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2-4A0C-8220-2C363E986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238912"/>
        <c:axId val="963745872"/>
      </c:barChart>
      <c:catAx>
        <c:axId val="103423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45872"/>
        <c:crosses val="autoZero"/>
        <c:auto val="1"/>
        <c:lblAlgn val="ctr"/>
        <c:lblOffset val="100"/>
        <c:noMultiLvlLbl val="0"/>
      </c:catAx>
      <c:valAx>
        <c:axId val="9637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3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Margin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Sheet6!$B$88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Sheet6!$A$89:$A$99</c:f>
              <c:strCache>
                <c:ptCount val="11"/>
                <c:pt idx="0">
                  <c:v>Notebook</c:v>
                </c:pt>
                <c:pt idx="1">
                  <c:v>Pen Set</c:v>
                </c:pt>
                <c:pt idx="2">
                  <c:v>Mouse</c:v>
                </c:pt>
                <c:pt idx="3">
                  <c:v>Keyboard</c:v>
                </c:pt>
                <c:pt idx="4">
                  <c:v>Backpack</c:v>
                </c:pt>
                <c:pt idx="5">
                  <c:v>Desk</c:v>
                </c:pt>
                <c:pt idx="6">
                  <c:v>Office Chair</c:v>
                </c:pt>
                <c:pt idx="7">
                  <c:v>Unknown</c:v>
                </c:pt>
                <c:pt idx="8">
                  <c:v>Headphones</c:v>
                </c:pt>
                <c:pt idx="9">
                  <c:v>Smartphone</c:v>
                </c:pt>
                <c:pt idx="10">
                  <c:v>Laptop</c:v>
                </c:pt>
              </c:strCache>
            </c:strRef>
          </c:cat>
          <c:val>
            <c:numRef>
              <c:f>Sheet6!$B$89:$B$99</c:f>
              <c:numCache>
                <c:formatCode>0.00%</c:formatCode>
                <c:ptCount val="11"/>
                <c:pt idx="0">
                  <c:v>0.39389999999999997</c:v>
                </c:pt>
                <c:pt idx="1">
                  <c:v>0.3886</c:v>
                </c:pt>
                <c:pt idx="2">
                  <c:v>0.27760000000000001</c:v>
                </c:pt>
                <c:pt idx="3">
                  <c:v>0.26469999999999999</c:v>
                </c:pt>
                <c:pt idx="4">
                  <c:v>0.25750000000000001</c:v>
                </c:pt>
                <c:pt idx="5">
                  <c:v>0.20780000000000001</c:v>
                </c:pt>
                <c:pt idx="6">
                  <c:v>0.2051</c:v>
                </c:pt>
                <c:pt idx="7">
                  <c:v>8.8900000000000007E-2</c:v>
                </c:pt>
                <c:pt idx="8">
                  <c:v>8.6499999999999994E-2</c:v>
                </c:pt>
                <c:pt idx="9">
                  <c:v>8.5500000000000007E-2</c:v>
                </c:pt>
                <c:pt idx="10">
                  <c:v>8.3799999999999999E-2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1-42BD-8212-586D88945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266288"/>
        <c:axId val="963704112"/>
      </c:barChart>
      <c:catAx>
        <c:axId val="103426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04112"/>
        <c:crosses val="autoZero"/>
        <c:auto val="1"/>
        <c:lblAlgn val="ctr"/>
        <c:lblOffset val="100"/>
        <c:noMultiLvlLbl val="0"/>
      </c:catAx>
      <c:valAx>
        <c:axId val="96370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6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Customers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Sheet6!$A$107:$A$111</c:f>
              <c:strCache>
                <c:ptCount val="5"/>
                <c:pt idx="0">
                  <c:v>C0113</c:v>
                </c:pt>
                <c:pt idx="1">
                  <c:v>C0116</c:v>
                </c:pt>
                <c:pt idx="2">
                  <c:v>C0015</c:v>
                </c:pt>
                <c:pt idx="3">
                  <c:v>C0038</c:v>
                </c:pt>
                <c:pt idx="4">
                  <c:v>C0086</c:v>
                </c:pt>
              </c:strCache>
            </c:strRef>
          </c:cat>
          <c:val>
            <c:numRef>
              <c:f>Sheet6!$B$107:$B$111</c:f>
              <c:numCache>
                <c:formatCode>General</c:formatCode>
                <c:ptCount val="5"/>
                <c:pt idx="0">
                  <c:v>785775</c:v>
                </c:pt>
                <c:pt idx="1">
                  <c:v>691400</c:v>
                </c:pt>
                <c:pt idx="2">
                  <c:v>657990</c:v>
                </c:pt>
                <c:pt idx="3">
                  <c:v>615436</c:v>
                </c:pt>
                <c:pt idx="4">
                  <c:v>577663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A-4C8C-B3C5-60E562B8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800416"/>
        <c:axId val="963725712"/>
      </c:barChart>
      <c:catAx>
        <c:axId val="94980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25712"/>
        <c:crosses val="autoZero"/>
        <c:auto val="1"/>
        <c:lblAlgn val="ctr"/>
        <c:lblOffset val="100"/>
        <c:noMultiLvlLbl val="0"/>
      </c:catAx>
      <c:valAx>
        <c:axId val="96372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80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3810</xdr:rowOff>
    </xdr:from>
    <xdr:to>
      <xdr:col>9</xdr:col>
      <xdr:colOff>434340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61996-B062-D222-1F07-072ABB72A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19</xdr:row>
      <xdr:rowOff>11430</xdr:rowOff>
    </xdr:from>
    <xdr:to>
      <xdr:col>10</xdr:col>
      <xdr:colOff>487680</xdr:colOff>
      <xdr:row>34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37948F-22CE-A5E8-B5E3-658C17C05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</xdr:colOff>
      <xdr:row>34</xdr:row>
      <xdr:rowOff>41910</xdr:rowOff>
    </xdr:from>
    <xdr:to>
      <xdr:col>12</xdr:col>
      <xdr:colOff>0</xdr:colOff>
      <xdr:row>49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002001-506E-B6B8-5292-26B977307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647700</xdr:colOff>
      <xdr:row>51</xdr:row>
      <xdr:rowOff>41910</xdr:rowOff>
    </xdr:from>
    <xdr:to>
      <xdr:col>11</xdr:col>
      <xdr:colOff>419100</xdr:colOff>
      <xdr:row>66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3EFE1E-2AE7-8A35-E25B-B9154C557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</xdr:colOff>
      <xdr:row>67</xdr:row>
      <xdr:rowOff>41910</xdr:rowOff>
    </xdr:from>
    <xdr:to>
      <xdr:col>12</xdr:col>
      <xdr:colOff>0</xdr:colOff>
      <xdr:row>82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AEC73B-75E3-583B-0CD2-2417F4883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84</xdr:row>
      <xdr:rowOff>171450</xdr:rowOff>
    </xdr:from>
    <xdr:to>
      <xdr:col>11</xdr:col>
      <xdr:colOff>464820</xdr:colOff>
      <xdr:row>99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A369C2-B96A-977C-8316-3EA293137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101</xdr:row>
      <xdr:rowOff>156210</xdr:rowOff>
    </xdr:from>
    <xdr:to>
      <xdr:col>11</xdr:col>
      <xdr:colOff>457200</xdr:colOff>
      <xdr:row>116</xdr:row>
      <xdr:rowOff>156210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E96234-15B6-BC9C-F3EC-26D2814FB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</xdr:colOff>
      <xdr:row>6</xdr:row>
      <xdr:rowOff>2325</xdr:rowOff>
    </xdr:from>
    <xdr:to>
      <xdr:col>2</xdr:col>
      <xdr:colOff>1339312</xdr:colOff>
      <xdr:row>23</xdr:row>
      <xdr:rowOff>117299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23A7F-26D1-4D28-9F56-0F07F1FA2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1457950</xdr:colOff>
      <xdr:row>6</xdr:row>
      <xdr:rowOff>1181</xdr:rowOff>
    </xdr:from>
    <xdr:to>
      <xdr:col>8</xdr:col>
      <xdr:colOff>425558</xdr:colOff>
      <xdr:row>23</xdr:row>
      <xdr:rowOff>95126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A4538-0183-4A29-894B-D8EA0206F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13914</xdr:colOff>
      <xdr:row>24</xdr:row>
      <xdr:rowOff>5950</xdr:rowOff>
    </xdr:from>
    <xdr:to>
      <xdr:col>2</xdr:col>
      <xdr:colOff>1330271</xdr:colOff>
      <xdr:row>39</xdr:row>
      <xdr:rowOff>5948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EF215-D0D3-4BF6-8B35-4943589CD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1443870</xdr:colOff>
      <xdr:row>23</xdr:row>
      <xdr:rowOff>169327</xdr:rowOff>
    </xdr:from>
    <xdr:to>
      <xdr:col>8</xdr:col>
      <xdr:colOff>400371</xdr:colOff>
      <xdr:row>38</xdr:row>
      <xdr:rowOff>169326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5936AF-EC54-43EF-87E4-84A17BE7D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93274</xdr:rowOff>
    </xdr:from>
    <xdr:to>
      <xdr:col>2</xdr:col>
      <xdr:colOff>1283565</xdr:colOff>
      <xdr:row>55</xdr:row>
      <xdr:rowOff>142596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8538DA-4393-44A0-8223-BC8CE3DB1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1460427</xdr:colOff>
      <xdr:row>39</xdr:row>
      <xdr:rowOff>114740</xdr:rowOff>
    </xdr:from>
    <xdr:to>
      <xdr:col>8</xdr:col>
      <xdr:colOff>335796</xdr:colOff>
      <xdr:row>55</xdr:row>
      <xdr:rowOff>70471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DCA688-C583-4C7B-AD83-66EE27159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i" refreshedDate="46289.573095717591" createdVersion="8" refreshedVersion="8" minRefreshableVersion="3" recordCount="797" xr:uid="{52C4EF2A-4B66-4DDE-AA2E-E87FAAF430E1}">
  <cacheSource type="worksheet">
    <worksheetSource ref="A1:J1048576" sheet="retail_sales_detective_raw"/>
  </cacheSource>
  <cacheFields count="16">
    <cacheField name="order_id" numFmtId="0">
      <sharedItems containsString="0" containsBlank="1" containsNumber="1" containsInteger="1" minValue="10001" maxValue="10800" count="797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m/>
      </sharedItems>
    </cacheField>
    <cacheField name="order_date" numFmtId="0">
      <sharedItems containsNonDate="0" containsDate="1" containsString="0" containsBlank="1" minDate="2025-01-02T00:00:00" maxDate="2026-01-01T00:00:00" count="324">
        <d v="2025-04-17T00:00:00"/>
        <d v="2025-11-27T00:00:00"/>
        <d v="2025-09-15T00:00:00"/>
        <d v="2025-10-04T00:00:00"/>
        <d v="2025-06-19T00:00:00"/>
        <d v="2025-11-16T00:00:00"/>
        <d v="2025-10-01T00:00:00"/>
        <d v="2025-02-22T00:00:00"/>
        <d v="2025-02-04T00:00:00"/>
        <d v="2025-02-23T00:00:00"/>
        <d v="2025-08-06T00:00:00"/>
        <d v="2025-10-31T00:00:00"/>
        <d v="2025-10-23T00:00:00"/>
        <d v="2025-07-07T00:00:00"/>
        <d v="2025-03-06T00:00:00"/>
        <d v="2025-03-04T00:00:00"/>
        <d v="2025-09-18T00:00:00"/>
        <d v="2025-02-02T00:00:00"/>
        <d v="2025-12-26T00:00:00"/>
        <d v="2025-05-11T00:00:00"/>
        <d v="2025-01-15T00:00:00"/>
        <d v="2025-04-06T00:00:00"/>
        <d v="2025-01-29T00:00:00"/>
        <d v="2025-10-11T00:00:00"/>
        <d v="2025-01-28T00:00:00"/>
        <d v="2025-12-14T00:00:00"/>
        <d v="2025-09-16T00:00:00"/>
        <d v="2025-06-14T00:00:00"/>
        <d v="2025-10-22T00:00:00"/>
        <d v="2025-03-22T00:00:00"/>
        <d v="2025-08-12T00:00:00"/>
        <d v="2025-06-09T00:00:00"/>
        <d v="2025-10-21T00:00:00"/>
        <d v="2025-08-28T00:00:00"/>
        <d v="2025-12-15T00:00:00"/>
        <d v="2025-05-27T00:00:00"/>
        <d v="2025-05-08T00:00:00"/>
        <d v="2025-05-31T00:00:00"/>
        <d v="2025-04-22T00:00:00"/>
        <d v="2025-05-20T00:00:00"/>
        <d v="2025-04-30T00:00:00"/>
        <d v="2025-12-06T00:00:00"/>
        <d v="2025-12-04T00:00:00"/>
        <d v="2025-10-16T00:00:00"/>
        <d v="2025-09-21T00:00:00"/>
        <d v="2025-06-21T00:00:00"/>
        <d v="2025-02-06T00:00:00"/>
        <d v="2025-06-23T00:00:00"/>
        <d v="2025-09-30T00:00:00"/>
        <d v="2025-02-08T00:00:00"/>
        <d v="2025-11-12T00:00:00"/>
        <d v="2025-10-15T00:00:00"/>
        <d v="2025-05-05T00:00:00"/>
        <d v="2025-11-22T00:00:00"/>
        <d v="2025-03-01T00:00:00"/>
        <d v="2025-12-16T00:00:00"/>
        <d v="2025-05-04T00:00:00"/>
        <d v="2025-10-02T00:00:00"/>
        <d v="2025-04-27T00:00:00"/>
        <d v="2025-02-27T00:00:00"/>
        <d v="2025-09-29T00:00:00"/>
        <d v="2025-05-24T00:00:00"/>
        <d v="2025-07-23T00:00:00"/>
        <d v="2025-04-10T00:00:00"/>
        <d v="2025-10-07T00:00:00"/>
        <d v="2025-06-28T00:00:00"/>
        <d v="2025-11-26T00:00:00"/>
        <d v="2025-03-31T00:00:00"/>
        <d v="2025-04-24T00:00:00"/>
        <d v="2025-09-06T00:00:00"/>
        <d v="2025-02-05T00:00:00"/>
        <d v="2025-07-02T00:00:00"/>
        <d v="2025-07-06T00:00:00"/>
        <d v="2025-03-17T00:00:00"/>
        <d v="2025-07-05T00:00:00"/>
        <d v="2025-08-09T00:00:00"/>
        <d v="2025-09-10T00:00:00"/>
        <d v="2025-10-10T00:00:00"/>
        <d v="2025-12-05T00:00:00"/>
        <d v="2025-11-23T00:00:00"/>
        <d v="2025-12-30T00:00:00"/>
        <d v="2025-06-22T00:00:00"/>
        <d v="2025-11-13T00:00:00"/>
        <d v="2025-05-14T00:00:00"/>
        <d v="2025-08-17T00:00:00"/>
        <d v="2025-11-01T00:00:00"/>
        <d v="2025-01-08T00:00:00"/>
        <d v="2025-05-25T00:00:00"/>
        <d v="2025-09-13T00:00:00"/>
        <d v="2025-08-30T00:00:00"/>
        <d v="2025-05-26T00:00:00"/>
        <d v="2025-11-07T00:00:00"/>
        <d v="2025-07-21T00:00:00"/>
        <d v="2025-02-20T00:00:00"/>
        <d v="2025-02-03T00:00:00"/>
        <d v="2025-04-28T00:00:00"/>
        <d v="2025-08-24T00:00:00"/>
        <d v="2025-10-30T00:00:00"/>
        <d v="2025-07-11T00:00:00"/>
        <d v="2025-12-13T00:00:00"/>
        <d v="2025-01-30T00:00:00"/>
        <d v="2025-05-18T00:00:00"/>
        <d v="2025-03-10T00:00:00"/>
        <d v="2025-08-23T00:00:00"/>
        <d v="2025-12-02T00:00:00"/>
        <d v="2025-07-03T00:00:00"/>
        <d v="2025-03-02T00:00:00"/>
        <d v="2025-04-02T00:00:00"/>
        <d v="2025-01-12T00:00:00"/>
        <d v="2025-10-28T00:00:00"/>
        <d v="2025-02-25T00:00:00"/>
        <d v="2025-03-19T00:00:00"/>
        <d v="2025-01-07T00:00:00"/>
        <d v="2025-01-25T00:00:00"/>
        <d v="2025-03-08T00:00:00"/>
        <d v="2025-10-09T00:00:00"/>
        <d v="2025-08-31T00:00:00"/>
        <d v="2025-01-06T00:00:00"/>
        <d v="2025-10-27T00:00:00"/>
        <d v="2025-08-13T00:00:00"/>
        <d v="2025-02-07T00:00:00"/>
        <d v="2025-06-10T00:00:00"/>
        <d v="2025-11-15T00:00:00"/>
        <d v="2025-11-24T00:00:00"/>
        <d v="2025-08-01T00:00:00"/>
        <d v="2025-02-11T00:00:00"/>
        <d v="2025-12-19T00:00:00"/>
        <d v="2025-11-05T00:00:00"/>
        <d v="2025-06-06T00:00:00"/>
        <d v="2025-11-20T00:00:00"/>
        <d v="2025-04-14T00:00:00"/>
        <d v="2025-10-20T00:00:00"/>
        <d v="2025-09-14T00:00:00"/>
        <d v="2025-07-01T00:00:00"/>
        <d v="2025-05-29T00:00:00"/>
        <d v="2025-06-03T00:00:00"/>
        <d v="2025-01-17T00:00:00"/>
        <d v="2025-07-17T00:00:00"/>
        <d v="2025-05-30T00:00:00"/>
        <d v="2025-06-26T00:00:00"/>
        <d v="2025-07-30T00:00:00"/>
        <d v="2025-07-13T00:00:00"/>
        <d v="2025-06-11T00:00:00"/>
        <d v="2025-09-12T00:00:00"/>
        <d v="2025-04-07T00:00:00"/>
        <d v="2025-03-29T00:00:00"/>
        <d v="2025-09-20T00:00:00"/>
        <d v="2025-03-23T00:00:00"/>
        <d v="2025-07-14T00:00:00"/>
        <d v="2025-12-08T00:00:00"/>
        <d v="2025-02-28T00:00:00"/>
        <d v="2025-01-14T00:00:00"/>
        <d v="2025-07-20T00:00:00"/>
        <m/>
        <d v="2025-01-27T00:00:00"/>
        <d v="2025-09-25T00:00:00"/>
        <d v="2025-07-09T00:00:00"/>
        <d v="2025-07-12T00:00:00"/>
        <d v="2025-08-20T00:00:00"/>
        <d v="2025-09-07T00:00:00"/>
        <d v="2025-12-03T00:00:00"/>
        <d v="2025-03-14T00:00:00"/>
        <d v="2025-04-11T00:00:00"/>
        <d v="2025-02-26T00:00:00"/>
        <d v="2025-02-16T00:00:00"/>
        <d v="2025-03-27T00:00:00"/>
        <d v="2025-04-13T00:00:00"/>
        <d v="2025-07-29T00:00:00"/>
        <d v="2025-11-14T00:00:00"/>
        <d v="2025-12-25T00:00:00"/>
        <d v="2025-05-22T00:00:00"/>
        <d v="2025-08-14T00:00:00"/>
        <d v="2025-11-06T00:00:00"/>
        <d v="2025-06-27T00:00:00"/>
        <d v="2025-09-26T00:00:00"/>
        <d v="2025-12-23T00:00:00"/>
        <d v="2025-01-09T00:00:00"/>
        <d v="2025-02-09T00:00:00"/>
        <d v="2025-12-11T00:00:00"/>
        <d v="2025-07-25T00:00:00"/>
        <d v="2025-02-15T00:00:00"/>
        <d v="2025-12-10T00:00:00"/>
        <d v="2025-03-15T00:00:00"/>
        <d v="2025-12-18T00:00:00"/>
        <d v="2025-09-27T00:00:00"/>
        <d v="2025-01-26T00:00:00"/>
        <d v="2025-03-25T00:00:00"/>
        <d v="2025-07-27T00:00:00"/>
        <d v="2025-07-28T00:00:00"/>
        <d v="2025-04-05T00:00:00"/>
        <d v="2025-09-24T00:00:00"/>
        <d v="2025-03-18T00:00:00"/>
        <d v="2025-09-19T00:00:00"/>
        <d v="2025-05-07T00:00:00"/>
        <d v="2025-04-29T00:00:00"/>
        <d v="2025-08-16T00:00:00"/>
        <d v="2025-08-25T00:00:00"/>
        <d v="2025-11-30T00:00:00"/>
        <d v="2025-02-10T00:00:00"/>
        <d v="2025-08-19T00:00:00"/>
        <d v="2025-06-12T00:00:00"/>
        <d v="2025-03-21T00:00:00"/>
        <d v="2025-07-26T00:00:00"/>
        <d v="2025-09-02T00:00:00"/>
        <d v="2025-08-05T00:00:00"/>
        <d v="2025-01-05T00:00:00"/>
        <d v="2025-08-08T00:00:00"/>
        <d v="2025-04-12T00:00:00"/>
        <d v="2025-10-06T00:00:00"/>
        <d v="2025-04-03T00:00:00"/>
        <d v="2025-01-03T00:00:00"/>
        <d v="2025-01-21T00:00:00"/>
        <d v="2025-10-19T00:00:00"/>
        <d v="2025-01-02T00:00:00"/>
        <d v="2025-11-08T00:00:00"/>
        <d v="2025-05-21T00:00:00"/>
        <d v="2025-03-09T00:00:00"/>
        <d v="2025-09-11T00:00:00"/>
        <d v="2025-04-26T00:00:00"/>
        <d v="2025-10-14T00:00:00"/>
        <d v="2025-05-01T00:00:00"/>
        <d v="2025-10-13T00:00:00"/>
        <d v="2025-12-27T00:00:00"/>
        <d v="2025-11-19T00:00:00"/>
        <d v="2025-10-03T00:00:00"/>
        <d v="2025-09-17T00:00:00"/>
        <d v="2025-11-04T00:00:00"/>
        <d v="2025-09-03T00:00:00"/>
        <d v="2025-06-30T00:00:00"/>
        <d v="2025-09-09T00:00:00"/>
        <d v="2025-08-02T00:00:00"/>
        <d v="2025-03-28T00:00:00"/>
        <d v="2025-04-19T00:00:00"/>
        <d v="2025-02-18T00:00:00"/>
        <d v="2025-01-10T00:00:00"/>
        <d v="2025-06-02T00:00:00"/>
        <d v="2025-02-01T00:00:00"/>
        <d v="2025-01-18T00:00:00"/>
        <d v="2025-12-28T00:00:00"/>
        <d v="2025-10-29T00:00:00"/>
        <d v="2025-08-22T00:00:00"/>
        <d v="2025-04-21T00:00:00"/>
        <d v="2025-08-15T00:00:00"/>
        <d v="2025-01-04T00:00:00"/>
        <d v="2025-02-24T00:00:00"/>
        <d v="2025-06-08T00:00:00"/>
        <d v="2025-05-17T00:00:00"/>
        <d v="2025-12-31T00:00:00"/>
        <d v="2025-03-11T00:00:00"/>
        <d v="2025-05-23T00:00:00"/>
        <d v="2025-06-18T00:00:00"/>
        <d v="2025-01-22T00:00:00"/>
        <d v="2025-04-09T00:00:00"/>
        <d v="2025-03-07T00:00:00"/>
        <d v="2025-11-03T00:00:00"/>
        <d v="2025-06-13T00:00:00"/>
        <d v="2025-08-26T00:00:00"/>
        <d v="2025-09-04T00:00:00"/>
        <d v="2025-07-15T00:00:00"/>
        <d v="2025-05-13T00:00:00"/>
        <d v="2025-11-29T00:00:00"/>
        <d v="2025-04-01T00:00:00"/>
        <d v="2025-07-22T00:00:00"/>
        <d v="2025-04-20T00:00:00"/>
        <d v="2025-06-07T00:00:00"/>
        <d v="2025-11-21T00:00:00"/>
        <d v="2025-10-18T00:00:00"/>
        <d v="2025-03-13T00:00:00"/>
        <d v="2025-09-23T00:00:00"/>
        <d v="2025-11-09T00:00:00"/>
        <d v="2025-05-06T00:00:00"/>
        <d v="2025-06-25T00:00:00"/>
        <d v="2025-04-23T00:00:00"/>
        <d v="2025-02-14T00:00:00"/>
        <d v="2025-10-05T00:00:00"/>
        <d v="2025-05-19T00:00:00"/>
        <d v="2025-03-16T00:00:00"/>
        <d v="2025-07-10T00:00:00"/>
        <d v="2025-12-24T00:00:00"/>
        <d v="2025-10-17T00:00:00"/>
        <d v="2025-11-02T00:00:00"/>
        <d v="2025-01-11T00:00:00"/>
        <d v="2025-08-04T00:00:00"/>
        <d v="2025-12-22T00:00:00"/>
        <d v="2025-06-20T00:00:00"/>
        <d v="2025-06-05T00:00:00"/>
        <d v="2025-11-17T00:00:00"/>
        <d v="2025-03-03T00:00:00"/>
        <d v="2025-08-11T00:00:00"/>
        <d v="2025-12-21T00:00:00"/>
        <d v="2025-06-04T00:00:00"/>
        <d v="2025-05-09T00:00:00"/>
        <d v="2025-12-12T00:00:00"/>
        <d v="2025-12-20T00:00:00"/>
        <d v="2025-05-12T00:00:00"/>
        <d v="2025-01-24T00:00:00"/>
        <d v="2025-08-27T00:00:00"/>
        <d v="2025-08-29T00:00:00"/>
        <d v="2025-02-17T00:00:00"/>
        <d v="2025-06-16T00:00:00"/>
        <d v="2025-02-12T00:00:00"/>
        <d v="2025-06-17T00:00:00"/>
        <d v="2025-01-13T00:00:00"/>
        <d v="2025-03-24T00:00:00"/>
        <d v="2025-02-19T00:00:00"/>
        <d v="2025-09-05T00:00:00"/>
        <d v="2025-11-18T00:00:00"/>
        <d v="2025-05-28T00:00:00"/>
        <d v="2025-03-20T00:00:00"/>
        <d v="2025-07-31T00:00:00"/>
        <d v="2025-08-18T00:00:00"/>
        <d v="2025-05-02T00:00:00"/>
        <d v="2025-06-01T00:00:00"/>
        <d v="2025-01-19T00:00:00"/>
        <d v="2025-08-21T00:00:00"/>
        <d v="2025-05-03T00:00:00"/>
        <d v="2025-06-15T00:00:00"/>
        <d v="2025-10-26T00:00:00"/>
        <d v="2025-03-05T00:00:00"/>
        <d v="2025-03-12T00:00:00"/>
        <d v="2025-09-22T00:00:00"/>
        <d v="2025-04-16T00:00:00"/>
        <d v="2025-11-11T00:00:00"/>
        <d v="2025-02-13T00:00:00"/>
      </sharedItems>
      <fieldGroup par="13"/>
    </cacheField>
    <cacheField name="customer_id" numFmtId="0">
      <sharedItems containsBlank="1" count="152">
        <s v="C0072"/>
        <s v="C0088"/>
        <s v="C0058"/>
        <s v="C0015"/>
        <s v="C0131"/>
        <s v="C0132"/>
        <s v="C0130"/>
        <s v="C0081"/>
        <s v="C0106"/>
        <s v="C0044"/>
        <s v="C0082"/>
        <s v="C0124"/>
        <s v="C0089"/>
        <s v="C0139"/>
        <s v="C0041"/>
        <s v="C0048"/>
        <s v="C0035"/>
        <s v="C0001"/>
        <s v="C0090"/>
        <s v="C0036"/>
        <s v="C0066"/>
        <s v="C0108"/>
        <s v="C0129"/>
        <s v="C0103"/>
        <s v="C0051"/>
        <s v="C0113"/>
        <s v="C0068"/>
        <s v="C0024"/>
        <s v="C0144"/>
        <s v="C0003"/>
        <s v="C0148"/>
        <s v="C0039"/>
        <s v="C0042"/>
        <s v="C0060"/>
        <s v="C0037"/>
        <s v="C0116"/>
        <s v="C0112"/>
        <s v="C0054"/>
        <s v="C0142"/>
        <s v="C0115"/>
        <s v="C0027"/>
        <s v="C0111"/>
        <s v="C0147"/>
        <s v="C0046"/>
        <s v="C0018"/>
        <s v="C0104"/>
        <s v="C0026"/>
        <s v="C0135"/>
        <s v="C0086"/>
        <s v="C0150"/>
        <s v="C0047"/>
        <s v="C0092"/>
        <s v="C0062"/>
        <s v="C0122"/>
        <s v="C0069"/>
        <s v="C0101"/>
        <s v="C0034"/>
        <s v="C0080"/>
        <s v="C0084"/>
        <s v="C0043"/>
        <s v="C0075"/>
        <s v="C0138"/>
        <s v="C0096"/>
        <s v="C0013"/>
        <s v="C0019"/>
        <s v="C0009"/>
        <s v="C0117"/>
        <s v="C0007"/>
        <s v="C0136"/>
        <s v="C0045"/>
        <s v="C0091"/>
        <s v="C0141"/>
        <s v="C0127"/>
        <s v="C0014"/>
        <s v="C0016"/>
        <s v="C0028"/>
        <s v="C0109"/>
        <s v="C0011"/>
        <s v="C0098"/>
        <s v="C0006"/>
        <s v="C0083"/>
        <s v="C0004"/>
        <s v="C0133"/>
        <s v="C0085"/>
        <s v="C0038"/>
        <s v="C0052"/>
        <s v="C0145"/>
        <s v="C0095"/>
        <s v="C0025"/>
        <s v="C0061"/>
        <s v="C0073"/>
        <s v="C0094"/>
        <s v="C0064"/>
        <s v="C0121"/>
        <s v="C0031"/>
        <s v="C0020"/>
        <s v="C0134"/>
        <s v="C0078"/>
        <s v="C0005"/>
        <s v="C0023"/>
        <s v="C0118"/>
        <s v="C0076"/>
        <s v="C0029"/>
        <s v="C0057"/>
        <s v="C0053"/>
        <s v="C0128"/>
        <s v="C0114"/>
        <s v="C0049"/>
        <s v="C0055"/>
        <s v="C0008"/>
        <s v="C0002"/>
        <s v="C0119"/>
        <s v="C0137"/>
        <s v="C0022"/>
        <s v="C0040"/>
        <s v="C0143"/>
        <s v="C0032"/>
        <s v="C0059"/>
        <s v="C0017"/>
        <s v="C0123"/>
        <s v="C0120"/>
        <s v="C0063"/>
        <s v="C0097"/>
        <s v="C0100"/>
        <s v="C0107"/>
        <s v="C0077"/>
        <s v="C0021"/>
        <s v="C0079"/>
        <s v="C0087"/>
        <s v="C0070"/>
        <s v="C0093"/>
        <s v="C0050"/>
        <s v="C0099"/>
        <s v="C0012"/>
        <s v="C0149"/>
        <s v="C0125"/>
        <s v="C0102"/>
        <s v="C0067"/>
        <s v="C0010"/>
        <s v="C0056"/>
        <s v="C0110"/>
        <s v="C0065"/>
        <s v="C0146"/>
        <s v="C0030"/>
        <s v="Unknown"/>
        <s v="C0140"/>
        <s v="C0105"/>
        <s v="C0071"/>
        <s v="C0126"/>
        <s v="C0033"/>
        <s v="C0074"/>
        <m/>
      </sharedItems>
    </cacheField>
    <cacheField name="product" numFmtId="0">
      <sharedItems containsBlank="1" count="12">
        <s v="Pen Set"/>
        <s v="Desk"/>
        <s v="Office Chair"/>
        <s v="Notebook"/>
        <s v="Mouse"/>
        <s v="Headphones"/>
        <s v="Smartphone"/>
        <s v="Keyboard"/>
        <s v="Laptop"/>
        <s v="Backpack"/>
        <s v="Unknown"/>
        <m/>
      </sharedItems>
    </cacheField>
    <cacheField name="category" numFmtId="0">
      <sharedItems containsBlank="1" count="5">
        <s v="Stationery"/>
        <s v="Furniture"/>
        <s v="Accessories"/>
        <s v="Electronics"/>
        <m/>
      </sharedItems>
    </cacheField>
    <cacheField name="region" numFmtId="0">
      <sharedItems containsBlank="1" count="5">
        <s v="West"/>
        <s v="South"/>
        <s v="East"/>
        <s v="North"/>
        <m/>
      </sharedItems>
    </cacheField>
    <cacheField name="quantity" numFmtId="0">
      <sharedItems containsString="0" containsBlank="1" containsNumber="1" containsInteger="1" minValue="1" maxValue="5"/>
    </cacheField>
    <cacheField name="sales" numFmtId="0">
      <sharedItems containsString="0" containsBlank="1" containsNumber="1" minValue="153" maxValue="275000"/>
    </cacheField>
    <cacheField name="discount" numFmtId="0">
      <sharedItems containsString="0" containsBlank="1" containsNumber="1" minValue="0" maxValue="0.25" count="7">
        <n v="0.25"/>
        <n v="0"/>
        <n v="0.05"/>
        <n v="0.1"/>
        <n v="0.15"/>
        <n v="0.2"/>
        <m/>
      </sharedItems>
    </cacheField>
    <cacheField name="profit" numFmtId="0">
      <sharedItems containsString="0" containsBlank="1" containsNumber="1" minValue="-15400" maxValue="49500"/>
    </cacheField>
    <cacheField name="Profit margin" numFmtId="0" formula="profit/sales" databaseField="0"/>
    <cacheField name="Profit margine" numFmtId="0" formula="profit/sales" databaseField="0"/>
    <cacheField name="Days (order_date)" numFmtId="0" databaseField="0">
      <fieldGroup base="1">
        <rangePr groupBy="days" startDate="2025-01-02T00:00:00" endDate="2026-01-01T00:00:00"/>
        <groupItems count="368">
          <s v="&lt;02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_date)" numFmtId="0" databaseField="0">
      <fieldGroup base="1">
        <rangePr groupBy="months" startDate="2025-01-02T00:00:00" endDate="2026-01-01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customer profit margine" numFmtId="0" formula="profit /sales" databaseField="0"/>
    <cacheField name="Average order value" numFmtId="0" formula="sales /order_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">
  <r>
    <x v="0"/>
    <x v="0"/>
    <x v="0"/>
    <x v="0"/>
    <x v="0"/>
    <x v="0"/>
    <n v="4"/>
    <n v="540"/>
    <x v="0"/>
    <n v="144"/>
  </r>
  <r>
    <x v="1"/>
    <x v="1"/>
    <x v="1"/>
    <x v="1"/>
    <x v="1"/>
    <x v="0"/>
    <n v="2"/>
    <n v="30000"/>
    <x v="1"/>
    <n v="8400"/>
  </r>
  <r>
    <x v="2"/>
    <x v="2"/>
    <x v="1"/>
    <x v="2"/>
    <x v="1"/>
    <x v="1"/>
    <n v="3"/>
    <n v="36000"/>
    <x v="1"/>
    <n v="10080"/>
  </r>
  <r>
    <x v="3"/>
    <x v="3"/>
    <x v="2"/>
    <x v="3"/>
    <x v="0"/>
    <x v="2"/>
    <n v="2"/>
    <n v="475"/>
    <x v="2"/>
    <n v="200"/>
  </r>
  <r>
    <x v="4"/>
    <x v="4"/>
    <x v="3"/>
    <x v="4"/>
    <x v="2"/>
    <x v="2"/>
    <n v="1"/>
    <n v="1080"/>
    <x v="3"/>
    <n v="300"/>
  </r>
  <r>
    <x v="5"/>
    <x v="5"/>
    <x v="4"/>
    <x v="5"/>
    <x v="3"/>
    <x v="0"/>
    <n v="4"/>
    <n v="16200"/>
    <x v="3"/>
    <n v="1440"/>
  </r>
  <r>
    <x v="6"/>
    <x v="6"/>
    <x v="5"/>
    <x v="5"/>
    <x v="3"/>
    <x v="0"/>
    <n v="5"/>
    <n v="20250"/>
    <x v="3"/>
    <n v="1800"/>
  </r>
  <r>
    <x v="7"/>
    <x v="7"/>
    <x v="6"/>
    <x v="6"/>
    <x v="3"/>
    <x v="1"/>
    <n v="2"/>
    <n v="57000"/>
    <x v="2"/>
    <n v="7800"/>
  </r>
  <r>
    <x v="8"/>
    <x v="8"/>
    <x v="7"/>
    <x v="0"/>
    <x v="0"/>
    <x v="1"/>
    <n v="4"/>
    <n v="648"/>
    <x v="3"/>
    <n v="252"/>
  </r>
  <r>
    <x v="9"/>
    <x v="9"/>
    <x v="8"/>
    <x v="6"/>
    <x v="3"/>
    <x v="1"/>
    <n v="4"/>
    <n v="114000"/>
    <x v="2"/>
    <n v="15600"/>
  </r>
  <r>
    <x v="10"/>
    <x v="10"/>
    <x v="9"/>
    <x v="3"/>
    <x v="0"/>
    <x v="2"/>
    <n v="5"/>
    <n v="937.5"/>
    <x v="0"/>
    <n v="250"/>
  </r>
  <r>
    <x v="11"/>
    <x v="11"/>
    <x v="3"/>
    <x v="7"/>
    <x v="2"/>
    <x v="1"/>
    <n v="4"/>
    <n v="7920"/>
    <x v="3"/>
    <n v="2200"/>
  </r>
  <r>
    <x v="12"/>
    <x v="12"/>
    <x v="10"/>
    <x v="0"/>
    <x v="0"/>
    <x v="3"/>
    <n v="4"/>
    <n v="720"/>
    <x v="1"/>
    <n v="324"/>
  </r>
  <r>
    <x v="13"/>
    <x v="13"/>
    <x v="11"/>
    <x v="1"/>
    <x v="1"/>
    <x v="0"/>
    <n v="2"/>
    <n v="22500"/>
    <x v="0"/>
    <n v="900"/>
  </r>
  <r>
    <x v="14"/>
    <x v="14"/>
    <x v="12"/>
    <x v="4"/>
    <x v="2"/>
    <x v="3"/>
    <n v="5"/>
    <n v="5100"/>
    <x v="4"/>
    <n v="1200"/>
  </r>
  <r>
    <x v="15"/>
    <x v="15"/>
    <x v="13"/>
    <x v="4"/>
    <x v="2"/>
    <x v="3"/>
    <n v="1"/>
    <n v="1140"/>
    <x v="2"/>
    <n v="360"/>
  </r>
  <r>
    <x v="16"/>
    <x v="16"/>
    <x v="14"/>
    <x v="8"/>
    <x v="3"/>
    <x v="1"/>
    <n v="3"/>
    <n v="140250"/>
    <x v="4"/>
    <n v="4950"/>
  </r>
  <r>
    <x v="17"/>
    <x v="17"/>
    <x v="15"/>
    <x v="0"/>
    <x v="0"/>
    <x v="3"/>
    <n v="1"/>
    <n v="162"/>
    <x v="3"/>
    <n v="63"/>
  </r>
  <r>
    <x v="18"/>
    <x v="18"/>
    <x v="16"/>
    <x v="0"/>
    <x v="0"/>
    <x v="0"/>
    <n v="5"/>
    <n v="765"/>
    <x v="4"/>
    <n v="270"/>
  </r>
  <r>
    <x v="19"/>
    <x v="19"/>
    <x v="17"/>
    <x v="5"/>
    <x v="3"/>
    <x v="0"/>
    <n v="5"/>
    <n v="16875"/>
    <x v="0"/>
    <n v="-1575"/>
  </r>
  <r>
    <x v="20"/>
    <x v="20"/>
    <x v="18"/>
    <x v="7"/>
    <x v="2"/>
    <x v="2"/>
    <n v="3"/>
    <n v="5940"/>
    <x v="3"/>
    <n v="1650"/>
  </r>
  <r>
    <x v="21"/>
    <x v="21"/>
    <x v="5"/>
    <x v="5"/>
    <x v="3"/>
    <x v="2"/>
    <n v="1"/>
    <n v="4275"/>
    <x v="2"/>
    <n v="585"/>
  </r>
  <r>
    <x v="22"/>
    <x v="22"/>
    <x v="19"/>
    <x v="1"/>
    <x v="1"/>
    <x v="0"/>
    <n v="5"/>
    <n v="67500"/>
    <x v="3"/>
    <n v="13500"/>
  </r>
  <r>
    <x v="23"/>
    <x v="23"/>
    <x v="20"/>
    <x v="0"/>
    <x v="0"/>
    <x v="2"/>
    <n v="3"/>
    <n v="459"/>
    <x v="4"/>
    <n v="162"/>
  </r>
  <r>
    <x v="24"/>
    <x v="24"/>
    <x v="21"/>
    <x v="4"/>
    <x v="2"/>
    <x v="1"/>
    <n v="5"/>
    <n v="4800"/>
    <x v="5"/>
    <n v="900"/>
  </r>
  <r>
    <x v="25"/>
    <x v="25"/>
    <x v="22"/>
    <x v="2"/>
    <x v="1"/>
    <x v="0"/>
    <n v="3"/>
    <n v="34200"/>
    <x v="2"/>
    <n v="8280"/>
  </r>
  <r>
    <x v="26"/>
    <x v="26"/>
    <x v="23"/>
    <x v="4"/>
    <x v="2"/>
    <x v="2"/>
    <n v="4"/>
    <n v="4560"/>
    <x v="2"/>
    <n v="1440"/>
  </r>
  <r>
    <x v="27"/>
    <x v="27"/>
    <x v="24"/>
    <x v="9"/>
    <x v="2"/>
    <x v="2"/>
    <n v="3"/>
    <n v="4860"/>
    <x v="3"/>
    <n v="1350"/>
  </r>
  <r>
    <x v="28"/>
    <x v="21"/>
    <x v="25"/>
    <x v="9"/>
    <x v="2"/>
    <x v="2"/>
    <n v="3"/>
    <n v="5130"/>
    <x v="2"/>
    <n v="1620"/>
  </r>
  <r>
    <x v="29"/>
    <x v="28"/>
    <x v="6"/>
    <x v="8"/>
    <x v="3"/>
    <x v="3"/>
    <n v="2"/>
    <n v="82500"/>
    <x v="0"/>
    <n v="-7700"/>
  </r>
  <r>
    <x v="30"/>
    <x v="29"/>
    <x v="25"/>
    <x v="8"/>
    <x v="3"/>
    <x v="2"/>
    <n v="5"/>
    <n v="261250"/>
    <x v="2"/>
    <n v="35750"/>
  </r>
  <r>
    <x v="31"/>
    <x v="30"/>
    <x v="22"/>
    <x v="6"/>
    <x v="3"/>
    <x v="3"/>
    <n v="4"/>
    <n v="120000"/>
    <x v="1"/>
    <n v="21600"/>
  </r>
  <r>
    <x v="32"/>
    <x v="31"/>
    <x v="26"/>
    <x v="6"/>
    <x v="3"/>
    <x v="3"/>
    <n v="5"/>
    <n v="135000"/>
    <x v="3"/>
    <n v="12000"/>
  </r>
  <r>
    <x v="33"/>
    <x v="32"/>
    <x v="27"/>
    <x v="9"/>
    <x v="2"/>
    <x v="0"/>
    <n v="3"/>
    <n v="5130"/>
    <x v="2"/>
    <n v="1620"/>
  </r>
  <r>
    <x v="34"/>
    <x v="33"/>
    <x v="28"/>
    <x v="2"/>
    <x v="1"/>
    <x v="0"/>
    <n v="2"/>
    <n v="21600"/>
    <x v="3"/>
    <n v="4320"/>
  </r>
  <r>
    <x v="35"/>
    <x v="34"/>
    <x v="29"/>
    <x v="4"/>
    <x v="2"/>
    <x v="1"/>
    <n v="4"/>
    <n v="4320"/>
    <x v="3"/>
    <n v="1200"/>
  </r>
  <r>
    <x v="36"/>
    <x v="35"/>
    <x v="30"/>
    <x v="2"/>
    <x v="1"/>
    <x v="1"/>
    <n v="3"/>
    <n v="30600"/>
    <x v="4"/>
    <n v="4680"/>
  </r>
  <r>
    <x v="37"/>
    <x v="36"/>
    <x v="31"/>
    <x v="0"/>
    <x v="0"/>
    <x v="2"/>
    <n v="4"/>
    <n v="540"/>
    <x v="0"/>
    <n v="144"/>
  </r>
  <r>
    <x v="38"/>
    <x v="37"/>
    <x v="32"/>
    <x v="9"/>
    <x v="2"/>
    <x v="3"/>
    <n v="1"/>
    <n v="1530"/>
    <x v="4"/>
    <n v="360"/>
  </r>
  <r>
    <x v="39"/>
    <x v="38"/>
    <x v="33"/>
    <x v="0"/>
    <x v="0"/>
    <x v="0"/>
    <n v="4"/>
    <n v="720"/>
    <x v="1"/>
    <n v="324"/>
  </r>
  <r>
    <x v="40"/>
    <x v="39"/>
    <x v="34"/>
    <x v="6"/>
    <x v="3"/>
    <x v="1"/>
    <n v="1"/>
    <n v="30000"/>
    <x v="1"/>
    <n v="5400"/>
  </r>
  <r>
    <x v="41"/>
    <x v="35"/>
    <x v="15"/>
    <x v="0"/>
    <x v="0"/>
    <x v="1"/>
    <n v="1"/>
    <n v="171"/>
    <x v="2"/>
    <n v="72"/>
  </r>
  <r>
    <x v="42"/>
    <x v="40"/>
    <x v="35"/>
    <x v="5"/>
    <x v="3"/>
    <x v="3"/>
    <n v="4"/>
    <n v="14400"/>
    <x v="5"/>
    <n v="-360"/>
  </r>
  <r>
    <x v="43"/>
    <x v="41"/>
    <x v="36"/>
    <x v="8"/>
    <x v="3"/>
    <x v="2"/>
    <n v="4"/>
    <n v="176000"/>
    <x v="5"/>
    <n v="-4400"/>
  </r>
  <r>
    <x v="44"/>
    <x v="42"/>
    <x v="37"/>
    <x v="4"/>
    <x v="2"/>
    <x v="3"/>
    <n v="3"/>
    <n v="2700"/>
    <x v="0"/>
    <n v="360"/>
  </r>
  <r>
    <x v="45"/>
    <x v="43"/>
    <x v="38"/>
    <x v="4"/>
    <x v="2"/>
    <x v="0"/>
    <n v="4"/>
    <n v="4080"/>
    <x v="4"/>
    <n v="960"/>
  </r>
  <r>
    <x v="46"/>
    <x v="17"/>
    <x v="39"/>
    <x v="2"/>
    <x v="1"/>
    <x v="2"/>
    <n v="3"/>
    <n v="30600"/>
    <x v="4"/>
    <n v="4680"/>
  </r>
  <r>
    <x v="47"/>
    <x v="44"/>
    <x v="40"/>
    <x v="0"/>
    <x v="0"/>
    <x v="3"/>
    <n v="5"/>
    <n v="810"/>
    <x v="3"/>
    <n v="315"/>
  </r>
  <r>
    <x v="48"/>
    <x v="23"/>
    <x v="41"/>
    <x v="6"/>
    <x v="3"/>
    <x v="1"/>
    <n v="5"/>
    <n v="135000"/>
    <x v="3"/>
    <n v="12000"/>
  </r>
  <r>
    <x v="49"/>
    <x v="11"/>
    <x v="42"/>
    <x v="8"/>
    <x v="3"/>
    <x v="1"/>
    <n v="5"/>
    <n v="261250"/>
    <x v="2"/>
    <n v="35750"/>
  </r>
  <r>
    <x v="50"/>
    <x v="45"/>
    <x v="43"/>
    <x v="5"/>
    <x v="3"/>
    <x v="0"/>
    <n v="1"/>
    <n v="4500"/>
    <x v="1"/>
    <n v="810"/>
  </r>
  <r>
    <x v="51"/>
    <x v="46"/>
    <x v="27"/>
    <x v="3"/>
    <x v="0"/>
    <x v="0"/>
    <n v="3"/>
    <n v="637.5"/>
    <x v="4"/>
    <n v="225"/>
  </r>
  <r>
    <x v="52"/>
    <x v="13"/>
    <x v="35"/>
    <x v="8"/>
    <x v="3"/>
    <x v="3"/>
    <n v="5"/>
    <n v="247500"/>
    <x v="3"/>
    <n v="22000"/>
  </r>
  <r>
    <x v="53"/>
    <x v="36"/>
    <x v="44"/>
    <x v="1"/>
    <x v="1"/>
    <x v="0"/>
    <n v="1"/>
    <n v="14250"/>
    <x v="2"/>
    <n v="3450"/>
  </r>
  <r>
    <x v="54"/>
    <x v="47"/>
    <x v="27"/>
    <x v="7"/>
    <x v="2"/>
    <x v="2"/>
    <n v="2"/>
    <n v="3300"/>
    <x v="0"/>
    <n v="440"/>
  </r>
  <r>
    <x v="55"/>
    <x v="48"/>
    <x v="45"/>
    <x v="3"/>
    <x v="0"/>
    <x v="0"/>
    <n v="2"/>
    <n v="475"/>
    <x v="2"/>
    <n v="200"/>
  </r>
  <r>
    <x v="56"/>
    <x v="49"/>
    <x v="46"/>
    <x v="4"/>
    <x v="2"/>
    <x v="3"/>
    <n v="3"/>
    <n v="3060"/>
    <x v="4"/>
    <n v="720"/>
  </r>
  <r>
    <x v="57"/>
    <x v="50"/>
    <x v="47"/>
    <x v="6"/>
    <x v="3"/>
    <x v="0"/>
    <n v="1"/>
    <n v="27000"/>
    <x v="3"/>
    <n v="2400"/>
  </r>
  <r>
    <x v="58"/>
    <x v="44"/>
    <x v="28"/>
    <x v="2"/>
    <x v="1"/>
    <x v="2"/>
    <n v="5"/>
    <n v="57000"/>
    <x v="2"/>
    <n v="13800"/>
  </r>
  <r>
    <x v="59"/>
    <x v="51"/>
    <x v="48"/>
    <x v="5"/>
    <x v="3"/>
    <x v="3"/>
    <n v="4"/>
    <n v="16200"/>
    <x v="3"/>
    <n v="1440"/>
  </r>
  <r>
    <x v="60"/>
    <x v="52"/>
    <x v="49"/>
    <x v="4"/>
    <x v="2"/>
    <x v="2"/>
    <n v="2"/>
    <n v="2160"/>
    <x v="3"/>
    <n v="600"/>
  </r>
  <r>
    <x v="61"/>
    <x v="53"/>
    <x v="3"/>
    <x v="7"/>
    <x v="2"/>
    <x v="2"/>
    <n v="1"/>
    <n v="2200"/>
    <x v="1"/>
    <n v="770"/>
  </r>
  <r>
    <x v="62"/>
    <x v="54"/>
    <x v="21"/>
    <x v="1"/>
    <x v="1"/>
    <x v="0"/>
    <n v="1"/>
    <n v="12750"/>
    <x v="4"/>
    <n v="1950"/>
  </r>
  <r>
    <x v="63"/>
    <x v="55"/>
    <x v="50"/>
    <x v="0"/>
    <x v="0"/>
    <x v="3"/>
    <n v="4"/>
    <n v="576"/>
    <x v="5"/>
    <n v="180"/>
  </r>
  <r>
    <x v="64"/>
    <x v="56"/>
    <x v="8"/>
    <x v="0"/>
    <x v="0"/>
    <x v="2"/>
    <n v="4"/>
    <n v="720"/>
    <x v="1"/>
    <n v="324"/>
  </r>
  <r>
    <x v="65"/>
    <x v="57"/>
    <x v="51"/>
    <x v="5"/>
    <x v="3"/>
    <x v="2"/>
    <n v="1"/>
    <n v="4275"/>
    <x v="2"/>
    <n v="585"/>
  </r>
  <r>
    <x v="66"/>
    <x v="58"/>
    <x v="52"/>
    <x v="0"/>
    <x v="0"/>
    <x v="3"/>
    <n v="2"/>
    <n v="360"/>
    <x v="1"/>
    <n v="162"/>
  </r>
  <r>
    <x v="67"/>
    <x v="59"/>
    <x v="53"/>
    <x v="4"/>
    <x v="2"/>
    <x v="0"/>
    <n v="4"/>
    <n v="4320"/>
    <x v="3"/>
    <n v="1200"/>
  </r>
  <r>
    <x v="68"/>
    <x v="60"/>
    <x v="54"/>
    <x v="6"/>
    <x v="3"/>
    <x v="2"/>
    <n v="1"/>
    <n v="25500"/>
    <x v="4"/>
    <n v="900"/>
  </r>
  <r>
    <x v="69"/>
    <x v="61"/>
    <x v="48"/>
    <x v="0"/>
    <x v="0"/>
    <x v="0"/>
    <n v="3"/>
    <n v="513"/>
    <x v="2"/>
    <n v="216"/>
  </r>
  <r>
    <x v="70"/>
    <x v="62"/>
    <x v="28"/>
    <x v="1"/>
    <x v="1"/>
    <x v="2"/>
    <n v="1"/>
    <n v="14250"/>
    <x v="2"/>
    <n v="3450"/>
  </r>
  <r>
    <x v="71"/>
    <x v="43"/>
    <x v="55"/>
    <x v="7"/>
    <x v="2"/>
    <x v="3"/>
    <n v="5"/>
    <n v="9900"/>
    <x v="3"/>
    <n v="2750"/>
  </r>
  <r>
    <x v="72"/>
    <x v="63"/>
    <x v="56"/>
    <x v="7"/>
    <x v="2"/>
    <x v="1"/>
    <n v="2"/>
    <n v="3300"/>
    <x v="0"/>
    <n v="440"/>
  </r>
  <r>
    <x v="73"/>
    <x v="21"/>
    <x v="17"/>
    <x v="7"/>
    <x v="2"/>
    <x v="0"/>
    <n v="2"/>
    <n v="3300"/>
    <x v="0"/>
    <n v="440"/>
  </r>
  <r>
    <x v="74"/>
    <x v="64"/>
    <x v="57"/>
    <x v="1"/>
    <x v="1"/>
    <x v="3"/>
    <n v="5"/>
    <n v="75000"/>
    <x v="1"/>
    <n v="21000"/>
  </r>
  <r>
    <x v="75"/>
    <x v="31"/>
    <x v="58"/>
    <x v="6"/>
    <x v="3"/>
    <x v="1"/>
    <n v="1"/>
    <n v="24000"/>
    <x v="5"/>
    <n v="-600"/>
  </r>
  <r>
    <x v="76"/>
    <x v="65"/>
    <x v="55"/>
    <x v="6"/>
    <x v="3"/>
    <x v="1"/>
    <n v="3"/>
    <n v="81000"/>
    <x v="3"/>
    <n v="7200"/>
  </r>
  <r>
    <x v="77"/>
    <x v="66"/>
    <x v="59"/>
    <x v="5"/>
    <x v="3"/>
    <x v="1"/>
    <n v="1"/>
    <n v="3375"/>
    <x v="0"/>
    <n v="-315"/>
  </r>
  <r>
    <x v="78"/>
    <x v="8"/>
    <x v="7"/>
    <x v="6"/>
    <x v="3"/>
    <x v="2"/>
    <n v="5"/>
    <n v="150000"/>
    <x v="1"/>
    <n v="27000"/>
  </r>
  <r>
    <x v="79"/>
    <x v="67"/>
    <x v="39"/>
    <x v="9"/>
    <x v="2"/>
    <x v="0"/>
    <n v="5"/>
    <n v="7200"/>
    <x v="5"/>
    <n v="1350"/>
  </r>
  <r>
    <x v="80"/>
    <x v="68"/>
    <x v="60"/>
    <x v="0"/>
    <x v="0"/>
    <x v="0"/>
    <n v="4"/>
    <n v="612"/>
    <x v="4"/>
    <n v="216"/>
  </r>
  <r>
    <x v="81"/>
    <x v="69"/>
    <x v="61"/>
    <x v="9"/>
    <x v="2"/>
    <x v="0"/>
    <n v="4"/>
    <n v="6480"/>
    <x v="3"/>
    <n v="1800"/>
  </r>
  <r>
    <x v="82"/>
    <x v="70"/>
    <x v="62"/>
    <x v="4"/>
    <x v="2"/>
    <x v="1"/>
    <n v="3"/>
    <n v="2700"/>
    <x v="0"/>
    <n v="360"/>
  </r>
  <r>
    <x v="83"/>
    <x v="71"/>
    <x v="63"/>
    <x v="0"/>
    <x v="0"/>
    <x v="3"/>
    <n v="5"/>
    <n v="855"/>
    <x v="2"/>
    <n v="360"/>
  </r>
  <r>
    <x v="84"/>
    <x v="48"/>
    <x v="25"/>
    <x v="4"/>
    <x v="2"/>
    <x v="2"/>
    <n v="3"/>
    <n v="3600"/>
    <x v="1"/>
    <n v="1260"/>
  </r>
  <r>
    <x v="85"/>
    <x v="72"/>
    <x v="64"/>
    <x v="2"/>
    <x v="1"/>
    <x v="0"/>
    <n v="1"/>
    <n v="11400"/>
    <x v="2"/>
    <n v="2760"/>
  </r>
  <r>
    <x v="86"/>
    <x v="73"/>
    <x v="65"/>
    <x v="2"/>
    <x v="1"/>
    <x v="3"/>
    <n v="4"/>
    <n v="36000"/>
    <x v="0"/>
    <n v="1440"/>
  </r>
  <r>
    <x v="87"/>
    <x v="61"/>
    <x v="66"/>
    <x v="2"/>
    <x v="1"/>
    <x v="0"/>
    <n v="3"/>
    <n v="32400"/>
    <x v="3"/>
    <n v="6480"/>
  </r>
  <r>
    <x v="88"/>
    <x v="7"/>
    <x v="28"/>
    <x v="5"/>
    <x v="3"/>
    <x v="0"/>
    <n v="4"/>
    <n v="17100"/>
    <x v="2"/>
    <n v="2340"/>
  </r>
  <r>
    <x v="89"/>
    <x v="74"/>
    <x v="38"/>
    <x v="0"/>
    <x v="0"/>
    <x v="3"/>
    <n v="5"/>
    <n v="675"/>
    <x v="0"/>
    <n v="180"/>
  </r>
  <r>
    <x v="90"/>
    <x v="75"/>
    <x v="60"/>
    <x v="7"/>
    <x v="2"/>
    <x v="2"/>
    <n v="5"/>
    <n v="9350"/>
    <x v="4"/>
    <n v="2200"/>
  </r>
  <r>
    <x v="91"/>
    <x v="76"/>
    <x v="67"/>
    <x v="4"/>
    <x v="2"/>
    <x v="2"/>
    <n v="2"/>
    <n v="1920"/>
    <x v="5"/>
    <n v="360"/>
  </r>
  <r>
    <x v="92"/>
    <x v="77"/>
    <x v="53"/>
    <x v="9"/>
    <x v="2"/>
    <x v="2"/>
    <n v="2"/>
    <n v="3420"/>
    <x v="2"/>
    <n v="1080"/>
  </r>
  <r>
    <x v="93"/>
    <x v="78"/>
    <x v="68"/>
    <x v="1"/>
    <x v="1"/>
    <x v="1"/>
    <n v="5"/>
    <n v="75000"/>
    <x v="1"/>
    <n v="21000"/>
  </r>
  <r>
    <x v="94"/>
    <x v="79"/>
    <x v="69"/>
    <x v="8"/>
    <x v="3"/>
    <x v="1"/>
    <n v="4"/>
    <n v="209000"/>
    <x v="2"/>
    <n v="28600"/>
  </r>
  <r>
    <x v="95"/>
    <x v="80"/>
    <x v="70"/>
    <x v="2"/>
    <x v="1"/>
    <x v="2"/>
    <n v="4"/>
    <n v="48000"/>
    <x v="1"/>
    <n v="13440"/>
  </r>
  <r>
    <x v="96"/>
    <x v="81"/>
    <x v="71"/>
    <x v="7"/>
    <x v="2"/>
    <x v="2"/>
    <n v="3"/>
    <n v="6600"/>
    <x v="1"/>
    <n v="2310"/>
  </r>
  <r>
    <x v="97"/>
    <x v="82"/>
    <x v="72"/>
    <x v="7"/>
    <x v="2"/>
    <x v="0"/>
    <n v="4"/>
    <n v="8800"/>
    <x v="1"/>
    <n v="3080"/>
  </r>
  <r>
    <x v="98"/>
    <x v="25"/>
    <x v="25"/>
    <x v="0"/>
    <x v="0"/>
    <x v="0"/>
    <n v="1"/>
    <n v="153"/>
    <x v="4"/>
    <n v="54"/>
  </r>
  <r>
    <x v="99"/>
    <x v="83"/>
    <x v="2"/>
    <x v="9"/>
    <x v="2"/>
    <x v="1"/>
    <n v="1"/>
    <n v="1710"/>
    <x v="2"/>
    <n v="540"/>
  </r>
  <r>
    <x v="100"/>
    <x v="84"/>
    <x v="42"/>
    <x v="1"/>
    <x v="1"/>
    <x v="1"/>
    <n v="5"/>
    <n v="56250"/>
    <x v="0"/>
    <n v="2250"/>
  </r>
  <r>
    <x v="101"/>
    <x v="85"/>
    <x v="73"/>
    <x v="4"/>
    <x v="2"/>
    <x v="3"/>
    <n v="2"/>
    <n v="2400"/>
    <x v="1"/>
    <n v="840"/>
  </r>
  <r>
    <x v="102"/>
    <x v="26"/>
    <x v="28"/>
    <x v="8"/>
    <x v="3"/>
    <x v="3"/>
    <n v="5"/>
    <n v="233750"/>
    <x v="4"/>
    <n v="8250"/>
  </r>
  <r>
    <x v="103"/>
    <x v="30"/>
    <x v="74"/>
    <x v="4"/>
    <x v="2"/>
    <x v="1"/>
    <n v="3"/>
    <n v="3420"/>
    <x v="2"/>
    <n v="1080"/>
  </r>
  <r>
    <x v="104"/>
    <x v="86"/>
    <x v="53"/>
    <x v="3"/>
    <x v="0"/>
    <x v="1"/>
    <n v="4"/>
    <n v="1000"/>
    <x v="1"/>
    <n v="450"/>
  </r>
  <r>
    <x v="105"/>
    <x v="50"/>
    <x v="75"/>
    <x v="2"/>
    <x v="1"/>
    <x v="1"/>
    <n v="2"/>
    <n v="22800"/>
    <x v="2"/>
    <n v="5520"/>
  </r>
  <r>
    <x v="106"/>
    <x v="87"/>
    <x v="71"/>
    <x v="1"/>
    <x v="1"/>
    <x v="2"/>
    <n v="1"/>
    <n v="14250"/>
    <x v="2"/>
    <n v="3450"/>
  </r>
  <r>
    <x v="107"/>
    <x v="88"/>
    <x v="50"/>
    <x v="5"/>
    <x v="3"/>
    <x v="0"/>
    <n v="5"/>
    <n v="16875"/>
    <x v="0"/>
    <n v="-1575"/>
  </r>
  <r>
    <x v="108"/>
    <x v="89"/>
    <x v="76"/>
    <x v="6"/>
    <x v="3"/>
    <x v="0"/>
    <n v="2"/>
    <n v="45000"/>
    <x v="0"/>
    <n v="-4200"/>
  </r>
  <r>
    <x v="109"/>
    <x v="90"/>
    <x v="77"/>
    <x v="0"/>
    <x v="0"/>
    <x v="0"/>
    <n v="1"/>
    <n v="153"/>
    <x v="4"/>
    <n v="54"/>
  </r>
  <r>
    <x v="110"/>
    <x v="77"/>
    <x v="78"/>
    <x v="7"/>
    <x v="2"/>
    <x v="0"/>
    <n v="1"/>
    <n v="1650"/>
    <x v="0"/>
    <n v="220"/>
  </r>
  <r>
    <x v="111"/>
    <x v="91"/>
    <x v="79"/>
    <x v="5"/>
    <x v="3"/>
    <x v="1"/>
    <n v="1"/>
    <n v="4500"/>
    <x v="1"/>
    <n v="810"/>
  </r>
  <r>
    <x v="112"/>
    <x v="92"/>
    <x v="80"/>
    <x v="0"/>
    <x v="0"/>
    <x v="0"/>
    <n v="5"/>
    <n v="765"/>
    <x v="4"/>
    <n v="270"/>
  </r>
  <r>
    <x v="113"/>
    <x v="93"/>
    <x v="81"/>
    <x v="1"/>
    <x v="1"/>
    <x v="2"/>
    <n v="1"/>
    <n v="15000"/>
    <x v="1"/>
    <n v="4200"/>
  </r>
  <r>
    <x v="114"/>
    <x v="94"/>
    <x v="51"/>
    <x v="8"/>
    <x v="3"/>
    <x v="3"/>
    <n v="1"/>
    <n v="46750"/>
    <x v="4"/>
    <n v="1650"/>
  </r>
  <r>
    <x v="115"/>
    <x v="95"/>
    <x v="29"/>
    <x v="9"/>
    <x v="2"/>
    <x v="3"/>
    <n v="2"/>
    <n v="3240"/>
    <x v="3"/>
    <n v="900"/>
  </r>
  <r>
    <x v="116"/>
    <x v="96"/>
    <x v="82"/>
    <x v="6"/>
    <x v="3"/>
    <x v="2"/>
    <n v="4"/>
    <n v="102000"/>
    <x v="4"/>
    <n v="3600"/>
  </r>
  <r>
    <x v="117"/>
    <x v="97"/>
    <x v="83"/>
    <x v="4"/>
    <x v="2"/>
    <x v="2"/>
    <n v="1"/>
    <n v="1200"/>
    <x v="1"/>
    <n v="420"/>
  </r>
  <r>
    <x v="118"/>
    <x v="98"/>
    <x v="84"/>
    <x v="6"/>
    <x v="3"/>
    <x v="2"/>
    <n v="3"/>
    <n v="85500"/>
    <x v="2"/>
    <n v="11700"/>
  </r>
  <r>
    <x v="119"/>
    <x v="99"/>
    <x v="85"/>
    <x v="6"/>
    <x v="3"/>
    <x v="0"/>
    <n v="2"/>
    <n v="57000"/>
    <x v="2"/>
    <n v="7800"/>
  </r>
  <r>
    <x v="120"/>
    <x v="100"/>
    <x v="8"/>
    <x v="3"/>
    <x v="0"/>
    <x v="3"/>
    <n v="1"/>
    <n v="212.5"/>
    <x v="4"/>
    <n v="75"/>
  </r>
  <r>
    <x v="121"/>
    <x v="101"/>
    <x v="86"/>
    <x v="8"/>
    <x v="3"/>
    <x v="2"/>
    <n v="5"/>
    <n v="233750"/>
    <x v="4"/>
    <n v="8250"/>
  </r>
  <r>
    <x v="122"/>
    <x v="102"/>
    <x v="56"/>
    <x v="8"/>
    <x v="3"/>
    <x v="2"/>
    <n v="4"/>
    <n v="220000"/>
    <x v="1"/>
    <n v="39600"/>
  </r>
  <r>
    <x v="123"/>
    <x v="103"/>
    <x v="59"/>
    <x v="1"/>
    <x v="1"/>
    <x v="1"/>
    <n v="2"/>
    <n v="28500"/>
    <x v="2"/>
    <n v="6900"/>
  </r>
  <r>
    <x v="124"/>
    <x v="104"/>
    <x v="87"/>
    <x v="5"/>
    <x v="3"/>
    <x v="3"/>
    <n v="1"/>
    <n v="4050"/>
    <x v="3"/>
    <n v="360"/>
  </r>
  <r>
    <x v="125"/>
    <x v="105"/>
    <x v="88"/>
    <x v="3"/>
    <x v="0"/>
    <x v="3"/>
    <n v="4"/>
    <n v="950"/>
    <x v="2"/>
    <n v="400"/>
  </r>
  <r>
    <x v="126"/>
    <x v="106"/>
    <x v="53"/>
    <x v="5"/>
    <x v="3"/>
    <x v="3"/>
    <n v="3"/>
    <n v="11475"/>
    <x v="4"/>
    <n v="405"/>
  </r>
  <r>
    <x v="127"/>
    <x v="107"/>
    <x v="89"/>
    <x v="5"/>
    <x v="3"/>
    <x v="2"/>
    <n v="5"/>
    <n v="22500"/>
    <x v="1"/>
    <n v="4050"/>
  </r>
  <r>
    <x v="128"/>
    <x v="108"/>
    <x v="18"/>
    <x v="1"/>
    <x v="1"/>
    <x v="2"/>
    <n v="1"/>
    <n v="13500"/>
    <x v="3"/>
    <n v="2700"/>
  </r>
  <r>
    <x v="129"/>
    <x v="109"/>
    <x v="90"/>
    <x v="6"/>
    <x v="3"/>
    <x v="2"/>
    <n v="1"/>
    <n v="27000"/>
    <x v="3"/>
    <n v="2400"/>
  </r>
  <r>
    <x v="130"/>
    <x v="110"/>
    <x v="91"/>
    <x v="4"/>
    <x v="2"/>
    <x v="3"/>
    <n v="1"/>
    <n v="1020"/>
    <x v="4"/>
    <n v="240"/>
  </r>
  <r>
    <x v="131"/>
    <x v="86"/>
    <x v="25"/>
    <x v="8"/>
    <x v="3"/>
    <x v="3"/>
    <n v="2"/>
    <n v="88000"/>
    <x v="5"/>
    <n v="-2200"/>
  </r>
  <r>
    <x v="132"/>
    <x v="111"/>
    <x v="6"/>
    <x v="2"/>
    <x v="1"/>
    <x v="0"/>
    <n v="2"/>
    <n v="20400"/>
    <x v="4"/>
    <n v="3120"/>
  </r>
  <r>
    <x v="133"/>
    <x v="112"/>
    <x v="29"/>
    <x v="7"/>
    <x v="2"/>
    <x v="3"/>
    <n v="3"/>
    <n v="6270"/>
    <x v="2"/>
    <n v="1980"/>
  </r>
  <r>
    <x v="134"/>
    <x v="6"/>
    <x v="84"/>
    <x v="0"/>
    <x v="0"/>
    <x v="3"/>
    <n v="3"/>
    <n v="486"/>
    <x v="3"/>
    <n v="189"/>
  </r>
  <r>
    <x v="135"/>
    <x v="24"/>
    <x v="31"/>
    <x v="5"/>
    <x v="3"/>
    <x v="0"/>
    <n v="1"/>
    <n v="3825"/>
    <x v="4"/>
    <n v="135"/>
  </r>
  <r>
    <x v="136"/>
    <x v="113"/>
    <x v="86"/>
    <x v="8"/>
    <x v="3"/>
    <x v="0"/>
    <n v="2"/>
    <n v="99000"/>
    <x v="3"/>
    <n v="8800"/>
  </r>
  <r>
    <x v="137"/>
    <x v="114"/>
    <x v="76"/>
    <x v="2"/>
    <x v="1"/>
    <x v="2"/>
    <n v="1"/>
    <n v="10200"/>
    <x v="4"/>
    <n v="1560"/>
  </r>
  <r>
    <x v="138"/>
    <x v="96"/>
    <x v="80"/>
    <x v="2"/>
    <x v="1"/>
    <x v="2"/>
    <n v="2"/>
    <n v="21600"/>
    <x v="3"/>
    <n v="4320"/>
  </r>
  <r>
    <x v="139"/>
    <x v="115"/>
    <x v="92"/>
    <x v="4"/>
    <x v="2"/>
    <x v="2"/>
    <n v="5"/>
    <n v="5700"/>
    <x v="2"/>
    <n v="1800"/>
  </r>
  <r>
    <x v="140"/>
    <x v="84"/>
    <x v="93"/>
    <x v="9"/>
    <x v="2"/>
    <x v="0"/>
    <n v="3"/>
    <n v="4050"/>
    <x v="0"/>
    <n v="540"/>
  </r>
  <r>
    <x v="141"/>
    <x v="38"/>
    <x v="81"/>
    <x v="1"/>
    <x v="1"/>
    <x v="2"/>
    <n v="5"/>
    <n v="75000"/>
    <x v="1"/>
    <n v="21000"/>
  </r>
  <r>
    <x v="142"/>
    <x v="116"/>
    <x v="94"/>
    <x v="9"/>
    <x v="2"/>
    <x v="1"/>
    <n v="1"/>
    <n v="1800"/>
    <x v="1"/>
    <n v="630"/>
  </r>
  <r>
    <x v="143"/>
    <x v="117"/>
    <x v="20"/>
    <x v="1"/>
    <x v="1"/>
    <x v="1"/>
    <n v="4"/>
    <n v="45000"/>
    <x v="0"/>
    <n v="1800"/>
  </r>
  <r>
    <x v="144"/>
    <x v="118"/>
    <x v="82"/>
    <x v="9"/>
    <x v="2"/>
    <x v="2"/>
    <n v="2"/>
    <n v="3420"/>
    <x v="2"/>
    <n v="1080"/>
  </r>
  <r>
    <x v="145"/>
    <x v="119"/>
    <x v="95"/>
    <x v="7"/>
    <x v="2"/>
    <x v="0"/>
    <n v="4"/>
    <n v="7920"/>
    <x v="3"/>
    <n v="2200"/>
  </r>
  <r>
    <x v="146"/>
    <x v="120"/>
    <x v="34"/>
    <x v="8"/>
    <x v="3"/>
    <x v="2"/>
    <n v="2"/>
    <n v="93500"/>
    <x v="4"/>
    <n v="3300"/>
  </r>
  <r>
    <x v="147"/>
    <x v="121"/>
    <x v="96"/>
    <x v="2"/>
    <x v="1"/>
    <x v="2"/>
    <n v="5"/>
    <n v="54000"/>
    <x v="3"/>
    <n v="10800"/>
  </r>
  <r>
    <x v="148"/>
    <x v="101"/>
    <x v="6"/>
    <x v="9"/>
    <x v="2"/>
    <x v="0"/>
    <n v="2"/>
    <n v="3240"/>
    <x v="3"/>
    <n v="900"/>
  </r>
  <r>
    <x v="149"/>
    <x v="122"/>
    <x v="55"/>
    <x v="9"/>
    <x v="2"/>
    <x v="0"/>
    <n v="2"/>
    <n v="3600"/>
    <x v="1"/>
    <n v="1260"/>
  </r>
  <r>
    <x v="150"/>
    <x v="120"/>
    <x v="91"/>
    <x v="8"/>
    <x v="3"/>
    <x v="3"/>
    <n v="1"/>
    <n v="49500"/>
    <x v="3"/>
    <n v="4400"/>
  </r>
  <r>
    <x v="151"/>
    <x v="96"/>
    <x v="97"/>
    <x v="8"/>
    <x v="3"/>
    <x v="0"/>
    <n v="5"/>
    <n v="220000"/>
    <x v="5"/>
    <n v="-5500"/>
  </r>
  <r>
    <x v="152"/>
    <x v="73"/>
    <x v="16"/>
    <x v="9"/>
    <x v="2"/>
    <x v="0"/>
    <n v="3"/>
    <n v="4050"/>
    <x v="0"/>
    <n v="540"/>
  </r>
  <r>
    <x v="153"/>
    <x v="123"/>
    <x v="77"/>
    <x v="9"/>
    <x v="2"/>
    <x v="0"/>
    <n v="4"/>
    <n v="5760"/>
    <x v="5"/>
    <n v="1080"/>
  </r>
  <r>
    <x v="154"/>
    <x v="124"/>
    <x v="98"/>
    <x v="1"/>
    <x v="1"/>
    <x v="3"/>
    <n v="4"/>
    <n v="60000"/>
    <x v="1"/>
    <n v="16800"/>
  </r>
  <r>
    <x v="155"/>
    <x v="125"/>
    <x v="12"/>
    <x v="7"/>
    <x v="2"/>
    <x v="2"/>
    <n v="4"/>
    <n v="8360"/>
    <x v="2"/>
    <n v="2640"/>
  </r>
  <r>
    <x v="156"/>
    <x v="126"/>
    <x v="99"/>
    <x v="9"/>
    <x v="2"/>
    <x v="3"/>
    <n v="3"/>
    <n v="4860"/>
    <x v="3"/>
    <n v="1350"/>
  </r>
  <r>
    <x v="157"/>
    <x v="127"/>
    <x v="45"/>
    <x v="8"/>
    <x v="3"/>
    <x v="1"/>
    <n v="1"/>
    <n v="52250"/>
    <x v="2"/>
    <n v="7150"/>
  </r>
  <r>
    <x v="158"/>
    <x v="114"/>
    <x v="47"/>
    <x v="5"/>
    <x v="3"/>
    <x v="3"/>
    <n v="3"/>
    <n v="12150"/>
    <x v="3"/>
    <n v="1080"/>
  </r>
  <r>
    <x v="159"/>
    <x v="20"/>
    <x v="41"/>
    <x v="9"/>
    <x v="2"/>
    <x v="0"/>
    <n v="2"/>
    <n v="3600"/>
    <x v="1"/>
    <n v="1260"/>
  </r>
  <r>
    <x v="160"/>
    <x v="128"/>
    <x v="84"/>
    <x v="8"/>
    <x v="3"/>
    <x v="0"/>
    <n v="4"/>
    <n v="187000"/>
    <x v="4"/>
    <n v="6600"/>
  </r>
  <r>
    <x v="161"/>
    <x v="43"/>
    <x v="48"/>
    <x v="8"/>
    <x v="3"/>
    <x v="2"/>
    <n v="5"/>
    <n v="261250"/>
    <x v="2"/>
    <n v="35750"/>
  </r>
  <r>
    <x v="162"/>
    <x v="126"/>
    <x v="100"/>
    <x v="7"/>
    <x v="2"/>
    <x v="2"/>
    <n v="5"/>
    <n v="8800"/>
    <x v="5"/>
    <n v="1650"/>
  </r>
  <r>
    <x v="163"/>
    <x v="105"/>
    <x v="3"/>
    <x v="2"/>
    <x v="1"/>
    <x v="0"/>
    <n v="5"/>
    <n v="60000"/>
    <x v="1"/>
    <n v="16800"/>
  </r>
  <r>
    <x v="164"/>
    <x v="129"/>
    <x v="101"/>
    <x v="9"/>
    <x v="2"/>
    <x v="0"/>
    <n v="5"/>
    <n v="8100"/>
    <x v="3"/>
    <n v="2250"/>
  </r>
  <r>
    <x v="165"/>
    <x v="116"/>
    <x v="19"/>
    <x v="6"/>
    <x v="3"/>
    <x v="2"/>
    <n v="3"/>
    <n v="81000"/>
    <x v="3"/>
    <n v="7200"/>
  </r>
  <r>
    <x v="166"/>
    <x v="66"/>
    <x v="45"/>
    <x v="1"/>
    <x v="1"/>
    <x v="2"/>
    <n v="4"/>
    <n v="57000"/>
    <x v="2"/>
    <n v="13800"/>
  </r>
  <r>
    <x v="167"/>
    <x v="10"/>
    <x v="71"/>
    <x v="3"/>
    <x v="0"/>
    <x v="1"/>
    <n v="2"/>
    <n v="375"/>
    <x v="0"/>
    <n v="100"/>
  </r>
  <r>
    <x v="168"/>
    <x v="130"/>
    <x v="33"/>
    <x v="6"/>
    <x v="3"/>
    <x v="3"/>
    <n v="1"/>
    <n v="28500"/>
    <x v="2"/>
    <n v="3900"/>
  </r>
  <r>
    <x v="169"/>
    <x v="131"/>
    <x v="0"/>
    <x v="2"/>
    <x v="1"/>
    <x v="3"/>
    <n v="4"/>
    <n v="40800"/>
    <x v="4"/>
    <n v="6240"/>
  </r>
  <r>
    <x v="170"/>
    <x v="93"/>
    <x v="102"/>
    <x v="7"/>
    <x v="2"/>
    <x v="2"/>
    <n v="1"/>
    <n v="1980"/>
    <x v="3"/>
    <n v="550"/>
  </r>
  <r>
    <x v="171"/>
    <x v="132"/>
    <x v="43"/>
    <x v="9"/>
    <x v="2"/>
    <x v="0"/>
    <n v="1"/>
    <n v="1440"/>
    <x v="5"/>
    <n v="270"/>
  </r>
  <r>
    <x v="172"/>
    <x v="133"/>
    <x v="103"/>
    <x v="1"/>
    <x v="1"/>
    <x v="0"/>
    <n v="2"/>
    <n v="24000"/>
    <x v="5"/>
    <n v="2400"/>
  </r>
  <r>
    <x v="173"/>
    <x v="134"/>
    <x v="104"/>
    <x v="3"/>
    <x v="0"/>
    <x v="0"/>
    <n v="3"/>
    <n v="675"/>
    <x v="3"/>
    <n v="262.5"/>
  </r>
  <r>
    <x v="174"/>
    <x v="135"/>
    <x v="16"/>
    <x v="7"/>
    <x v="2"/>
    <x v="3"/>
    <n v="4"/>
    <n v="7480"/>
    <x v="4"/>
    <n v="1760"/>
  </r>
  <r>
    <x v="175"/>
    <x v="32"/>
    <x v="6"/>
    <x v="2"/>
    <x v="1"/>
    <x v="3"/>
    <n v="1"/>
    <n v="9600"/>
    <x v="5"/>
    <n v="960"/>
  </r>
  <r>
    <x v="176"/>
    <x v="136"/>
    <x v="105"/>
    <x v="6"/>
    <x v="3"/>
    <x v="3"/>
    <n v="3"/>
    <n v="76500"/>
    <x v="4"/>
    <n v="2700"/>
  </r>
  <r>
    <x v="177"/>
    <x v="137"/>
    <x v="1"/>
    <x v="5"/>
    <x v="3"/>
    <x v="0"/>
    <n v="1"/>
    <n v="4050"/>
    <x v="3"/>
    <n v="360"/>
  </r>
  <r>
    <x v="178"/>
    <x v="138"/>
    <x v="106"/>
    <x v="8"/>
    <x v="3"/>
    <x v="0"/>
    <n v="5"/>
    <n v="247500"/>
    <x v="3"/>
    <n v="22000"/>
  </r>
  <r>
    <x v="179"/>
    <x v="139"/>
    <x v="30"/>
    <x v="8"/>
    <x v="3"/>
    <x v="2"/>
    <n v="1"/>
    <n v="41250"/>
    <x v="0"/>
    <n v="-3850"/>
  </r>
  <r>
    <x v="180"/>
    <x v="18"/>
    <x v="107"/>
    <x v="3"/>
    <x v="0"/>
    <x v="3"/>
    <n v="4"/>
    <n v="900"/>
    <x v="3"/>
    <n v="350"/>
  </r>
  <r>
    <x v="181"/>
    <x v="140"/>
    <x v="52"/>
    <x v="8"/>
    <x v="3"/>
    <x v="1"/>
    <n v="5"/>
    <n v="261250"/>
    <x v="2"/>
    <n v="35750"/>
  </r>
  <r>
    <x v="182"/>
    <x v="61"/>
    <x v="64"/>
    <x v="8"/>
    <x v="3"/>
    <x v="2"/>
    <n v="5"/>
    <n v="261250"/>
    <x v="2"/>
    <n v="35750"/>
  </r>
  <r>
    <x v="183"/>
    <x v="141"/>
    <x v="25"/>
    <x v="8"/>
    <x v="3"/>
    <x v="2"/>
    <n v="3"/>
    <n v="148500"/>
    <x v="3"/>
    <n v="13200"/>
  </r>
  <r>
    <x v="184"/>
    <x v="44"/>
    <x v="108"/>
    <x v="3"/>
    <x v="0"/>
    <x v="3"/>
    <n v="3"/>
    <n v="750"/>
    <x v="1"/>
    <n v="337.5"/>
  </r>
  <r>
    <x v="185"/>
    <x v="142"/>
    <x v="11"/>
    <x v="5"/>
    <x v="3"/>
    <x v="0"/>
    <n v="2"/>
    <n v="8550"/>
    <x v="2"/>
    <n v="1170"/>
  </r>
  <r>
    <x v="186"/>
    <x v="34"/>
    <x v="109"/>
    <x v="0"/>
    <x v="0"/>
    <x v="0"/>
    <n v="4"/>
    <n v="576"/>
    <x v="5"/>
    <n v="180"/>
  </r>
  <r>
    <x v="187"/>
    <x v="143"/>
    <x v="0"/>
    <x v="4"/>
    <x v="2"/>
    <x v="2"/>
    <n v="3"/>
    <n v="3420"/>
    <x v="2"/>
    <n v="1080"/>
  </r>
  <r>
    <x v="188"/>
    <x v="144"/>
    <x v="51"/>
    <x v="4"/>
    <x v="2"/>
    <x v="3"/>
    <n v="5"/>
    <n v="6000"/>
    <x v="1"/>
    <n v="2100"/>
  </r>
  <r>
    <x v="189"/>
    <x v="145"/>
    <x v="97"/>
    <x v="9"/>
    <x v="2"/>
    <x v="1"/>
    <n v="2"/>
    <n v="3060"/>
    <x v="4"/>
    <n v="720"/>
  </r>
  <r>
    <x v="190"/>
    <x v="27"/>
    <x v="38"/>
    <x v="9"/>
    <x v="2"/>
    <x v="3"/>
    <n v="3"/>
    <n v="4050"/>
    <x v="0"/>
    <n v="540"/>
  </r>
  <r>
    <x v="191"/>
    <x v="146"/>
    <x v="83"/>
    <x v="0"/>
    <x v="0"/>
    <x v="3"/>
    <n v="2"/>
    <n v="360"/>
    <x v="1"/>
    <n v="162"/>
  </r>
  <r>
    <x v="192"/>
    <x v="147"/>
    <x v="110"/>
    <x v="5"/>
    <x v="3"/>
    <x v="0"/>
    <n v="4"/>
    <n v="16200"/>
    <x v="3"/>
    <n v="1440"/>
  </r>
  <r>
    <x v="193"/>
    <x v="148"/>
    <x v="111"/>
    <x v="1"/>
    <x v="1"/>
    <x v="1"/>
    <n v="4"/>
    <n v="57000"/>
    <x v="2"/>
    <n v="13800"/>
  </r>
  <r>
    <x v="194"/>
    <x v="88"/>
    <x v="112"/>
    <x v="2"/>
    <x v="1"/>
    <x v="2"/>
    <n v="5"/>
    <n v="57000"/>
    <x v="2"/>
    <n v="13800"/>
  </r>
  <r>
    <x v="195"/>
    <x v="149"/>
    <x v="21"/>
    <x v="1"/>
    <x v="1"/>
    <x v="1"/>
    <n v="4"/>
    <n v="57000"/>
    <x v="2"/>
    <n v="13800"/>
  </r>
  <r>
    <x v="196"/>
    <x v="150"/>
    <x v="105"/>
    <x v="8"/>
    <x v="3"/>
    <x v="1"/>
    <n v="2"/>
    <n v="99000"/>
    <x v="3"/>
    <n v="8800"/>
  </r>
  <r>
    <x v="197"/>
    <x v="151"/>
    <x v="65"/>
    <x v="8"/>
    <x v="3"/>
    <x v="1"/>
    <n v="2"/>
    <n v="110000"/>
    <x v="1"/>
    <n v="19800"/>
  </r>
  <r>
    <x v="198"/>
    <x v="152"/>
    <x v="113"/>
    <x v="6"/>
    <x v="3"/>
    <x v="3"/>
    <n v="5"/>
    <n v="135000"/>
    <x v="3"/>
    <n v="12000"/>
  </r>
  <r>
    <x v="199"/>
    <x v="153"/>
    <x v="78"/>
    <x v="2"/>
    <x v="1"/>
    <x v="3"/>
    <n v="2"/>
    <n v="21600"/>
    <x v="3"/>
    <n v="4320"/>
  </r>
  <r>
    <x v="200"/>
    <x v="36"/>
    <x v="83"/>
    <x v="1"/>
    <x v="1"/>
    <x v="2"/>
    <n v="3"/>
    <n v="38250"/>
    <x v="4"/>
    <n v="5850"/>
  </r>
  <r>
    <x v="201"/>
    <x v="136"/>
    <x v="53"/>
    <x v="2"/>
    <x v="1"/>
    <x v="1"/>
    <n v="1"/>
    <n v="11400"/>
    <x v="2"/>
    <n v="2760"/>
  </r>
  <r>
    <x v="202"/>
    <x v="154"/>
    <x v="103"/>
    <x v="0"/>
    <x v="0"/>
    <x v="3"/>
    <n v="5"/>
    <n v="900"/>
    <x v="1"/>
    <n v="405"/>
  </r>
  <r>
    <x v="203"/>
    <x v="155"/>
    <x v="104"/>
    <x v="3"/>
    <x v="0"/>
    <x v="3"/>
    <n v="3"/>
    <n v="675"/>
    <x v="3"/>
    <n v="262.5"/>
  </r>
  <r>
    <x v="204"/>
    <x v="156"/>
    <x v="53"/>
    <x v="7"/>
    <x v="2"/>
    <x v="2"/>
    <n v="5"/>
    <n v="8800"/>
    <x v="5"/>
    <n v="1650"/>
  </r>
  <r>
    <x v="205"/>
    <x v="157"/>
    <x v="24"/>
    <x v="6"/>
    <x v="3"/>
    <x v="0"/>
    <n v="4"/>
    <n v="90000"/>
    <x v="0"/>
    <n v="-8400"/>
  </r>
  <r>
    <x v="206"/>
    <x v="134"/>
    <x v="77"/>
    <x v="2"/>
    <x v="1"/>
    <x v="1"/>
    <n v="3"/>
    <n v="34200"/>
    <x v="2"/>
    <n v="8280"/>
  </r>
  <r>
    <x v="207"/>
    <x v="158"/>
    <x v="37"/>
    <x v="2"/>
    <x v="1"/>
    <x v="2"/>
    <n v="1"/>
    <n v="10200"/>
    <x v="4"/>
    <n v="1560"/>
  </r>
  <r>
    <x v="208"/>
    <x v="159"/>
    <x v="19"/>
    <x v="0"/>
    <x v="0"/>
    <x v="3"/>
    <n v="5"/>
    <n v="810"/>
    <x v="3"/>
    <n v="315"/>
  </r>
  <r>
    <x v="209"/>
    <x v="160"/>
    <x v="76"/>
    <x v="2"/>
    <x v="1"/>
    <x v="3"/>
    <n v="3"/>
    <n v="32400"/>
    <x v="3"/>
    <n v="6480"/>
  </r>
  <r>
    <x v="210"/>
    <x v="161"/>
    <x v="114"/>
    <x v="6"/>
    <x v="3"/>
    <x v="0"/>
    <n v="1"/>
    <n v="25500"/>
    <x v="4"/>
    <n v="900"/>
  </r>
  <r>
    <x v="211"/>
    <x v="130"/>
    <x v="32"/>
    <x v="8"/>
    <x v="3"/>
    <x v="0"/>
    <n v="1"/>
    <n v="46750"/>
    <x v="4"/>
    <n v="1650"/>
  </r>
  <r>
    <x v="212"/>
    <x v="84"/>
    <x v="21"/>
    <x v="0"/>
    <x v="0"/>
    <x v="1"/>
    <n v="3"/>
    <n v="459"/>
    <x v="4"/>
    <n v="162"/>
  </r>
  <r>
    <x v="213"/>
    <x v="162"/>
    <x v="9"/>
    <x v="5"/>
    <x v="3"/>
    <x v="3"/>
    <n v="2"/>
    <n v="9000"/>
    <x v="1"/>
    <n v="1620"/>
  </r>
  <r>
    <x v="214"/>
    <x v="163"/>
    <x v="108"/>
    <x v="8"/>
    <x v="3"/>
    <x v="0"/>
    <n v="5"/>
    <n v="233750"/>
    <x v="4"/>
    <n v="8250"/>
  </r>
  <r>
    <x v="215"/>
    <x v="134"/>
    <x v="7"/>
    <x v="9"/>
    <x v="2"/>
    <x v="3"/>
    <n v="3"/>
    <n v="4590"/>
    <x v="4"/>
    <n v="1080"/>
  </r>
  <r>
    <x v="216"/>
    <x v="155"/>
    <x v="115"/>
    <x v="1"/>
    <x v="1"/>
    <x v="3"/>
    <n v="1"/>
    <n v="12000"/>
    <x v="5"/>
    <n v="1200"/>
  </r>
  <r>
    <x v="217"/>
    <x v="164"/>
    <x v="116"/>
    <x v="7"/>
    <x v="2"/>
    <x v="2"/>
    <n v="1"/>
    <n v="1650"/>
    <x v="0"/>
    <n v="220"/>
  </r>
  <r>
    <x v="218"/>
    <x v="165"/>
    <x v="47"/>
    <x v="0"/>
    <x v="0"/>
    <x v="2"/>
    <n v="1"/>
    <n v="171"/>
    <x v="2"/>
    <n v="72"/>
  </r>
  <r>
    <x v="219"/>
    <x v="123"/>
    <x v="117"/>
    <x v="1"/>
    <x v="1"/>
    <x v="3"/>
    <n v="1"/>
    <n v="14250"/>
    <x v="2"/>
    <n v="3450"/>
  </r>
  <r>
    <x v="220"/>
    <x v="166"/>
    <x v="118"/>
    <x v="6"/>
    <x v="3"/>
    <x v="2"/>
    <n v="4"/>
    <n v="96000"/>
    <x v="5"/>
    <n v="-2400"/>
  </r>
  <r>
    <x v="221"/>
    <x v="109"/>
    <x v="78"/>
    <x v="9"/>
    <x v="2"/>
    <x v="3"/>
    <n v="3"/>
    <n v="4860"/>
    <x v="3"/>
    <n v="1350"/>
  </r>
  <r>
    <x v="222"/>
    <x v="71"/>
    <x v="21"/>
    <x v="1"/>
    <x v="1"/>
    <x v="3"/>
    <n v="3"/>
    <n v="42750"/>
    <x v="2"/>
    <n v="10350"/>
  </r>
  <r>
    <x v="223"/>
    <x v="167"/>
    <x v="74"/>
    <x v="9"/>
    <x v="2"/>
    <x v="0"/>
    <n v="1"/>
    <n v="1620"/>
    <x v="3"/>
    <n v="450"/>
  </r>
  <r>
    <x v="224"/>
    <x v="91"/>
    <x v="56"/>
    <x v="7"/>
    <x v="2"/>
    <x v="2"/>
    <n v="4"/>
    <n v="8360"/>
    <x v="2"/>
    <n v="2640"/>
  </r>
  <r>
    <x v="225"/>
    <x v="21"/>
    <x v="119"/>
    <x v="0"/>
    <x v="0"/>
    <x v="3"/>
    <n v="5"/>
    <n v="810"/>
    <x v="3"/>
    <n v="315"/>
  </r>
  <r>
    <x v="226"/>
    <x v="168"/>
    <x v="74"/>
    <x v="2"/>
    <x v="1"/>
    <x v="1"/>
    <n v="5"/>
    <n v="51000"/>
    <x v="4"/>
    <n v="7800"/>
  </r>
  <r>
    <x v="227"/>
    <x v="169"/>
    <x v="58"/>
    <x v="4"/>
    <x v="2"/>
    <x v="0"/>
    <n v="2"/>
    <n v="2400"/>
    <x v="1"/>
    <n v="840"/>
  </r>
  <r>
    <x v="228"/>
    <x v="170"/>
    <x v="120"/>
    <x v="8"/>
    <x v="3"/>
    <x v="2"/>
    <n v="1"/>
    <n v="55000"/>
    <x v="1"/>
    <n v="9900"/>
  </r>
  <r>
    <x v="229"/>
    <x v="131"/>
    <x v="90"/>
    <x v="6"/>
    <x v="3"/>
    <x v="3"/>
    <n v="4"/>
    <n v="102000"/>
    <x v="4"/>
    <n v="3600"/>
  </r>
  <r>
    <x v="230"/>
    <x v="39"/>
    <x v="34"/>
    <x v="8"/>
    <x v="3"/>
    <x v="0"/>
    <n v="1"/>
    <n v="46750"/>
    <x v="4"/>
    <n v="1650"/>
  </r>
  <r>
    <x v="231"/>
    <x v="28"/>
    <x v="121"/>
    <x v="1"/>
    <x v="1"/>
    <x v="2"/>
    <n v="3"/>
    <n v="40500"/>
    <x v="3"/>
    <n v="8100"/>
  </r>
  <r>
    <x v="232"/>
    <x v="171"/>
    <x v="85"/>
    <x v="9"/>
    <x v="2"/>
    <x v="1"/>
    <n v="3"/>
    <n v="4320"/>
    <x v="5"/>
    <n v="810"/>
  </r>
  <r>
    <x v="233"/>
    <x v="172"/>
    <x v="66"/>
    <x v="9"/>
    <x v="2"/>
    <x v="3"/>
    <n v="4"/>
    <n v="5760"/>
    <x v="5"/>
    <n v="1080"/>
  </r>
  <r>
    <x v="234"/>
    <x v="10"/>
    <x v="29"/>
    <x v="7"/>
    <x v="2"/>
    <x v="1"/>
    <n v="3"/>
    <n v="6600"/>
    <x v="1"/>
    <n v="2310"/>
  </r>
  <r>
    <x v="235"/>
    <x v="164"/>
    <x v="65"/>
    <x v="3"/>
    <x v="0"/>
    <x v="3"/>
    <n v="5"/>
    <n v="1250"/>
    <x v="1"/>
    <n v="562.5"/>
  </r>
  <r>
    <x v="236"/>
    <x v="173"/>
    <x v="10"/>
    <x v="2"/>
    <x v="1"/>
    <x v="2"/>
    <n v="2"/>
    <n v="21600"/>
    <x v="3"/>
    <n v="4320"/>
  </r>
  <r>
    <x v="237"/>
    <x v="174"/>
    <x v="120"/>
    <x v="8"/>
    <x v="3"/>
    <x v="0"/>
    <n v="3"/>
    <n v="140250"/>
    <x v="4"/>
    <n v="4950"/>
  </r>
  <r>
    <x v="238"/>
    <x v="175"/>
    <x v="78"/>
    <x v="4"/>
    <x v="2"/>
    <x v="3"/>
    <n v="1"/>
    <n v="960"/>
    <x v="5"/>
    <n v="180"/>
  </r>
  <r>
    <x v="239"/>
    <x v="22"/>
    <x v="112"/>
    <x v="4"/>
    <x v="2"/>
    <x v="3"/>
    <n v="3"/>
    <n v="3420"/>
    <x v="2"/>
    <n v="1080"/>
  </r>
  <r>
    <x v="240"/>
    <x v="176"/>
    <x v="114"/>
    <x v="4"/>
    <x v="2"/>
    <x v="0"/>
    <n v="2"/>
    <n v="1920"/>
    <x v="5"/>
    <n v="360"/>
  </r>
  <r>
    <x v="241"/>
    <x v="56"/>
    <x v="84"/>
    <x v="1"/>
    <x v="1"/>
    <x v="1"/>
    <n v="3"/>
    <n v="45000"/>
    <x v="1"/>
    <n v="12600"/>
  </r>
  <r>
    <x v="242"/>
    <x v="46"/>
    <x v="33"/>
    <x v="1"/>
    <x v="1"/>
    <x v="1"/>
    <n v="2"/>
    <n v="27000"/>
    <x v="3"/>
    <n v="5400"/>
  </r>
  <r>
    <x v="243"/>
    <x v="177"/>
    <x v="69"/>
    <x v="1"/>
    <x v="1"/>
    <x v="1"/>
    <n v="5"/>
    <n v="60000"/>
    <x v="5"/>
    <n v="6000"/>
  </r>
  <r>
    <x v="244"/>
    <x v="177"/>
    <x v="78"/>
    <x v="5"/>
    <x v="3"/>
    <x v="1"/>
    <n v="2"/>
    <n v="8100"/>
    <x v="3"/>
    <n v="720"/>
  </r>
  <r>
    <x v="245"/>
    <x v="107"/>
    <x v="122"/>
    <x v="8"/>
    <x v="3"/>
    <x v="3"/>
    <n v="3"/>
    <n v="132000"/>
    <x v="5"/>
    <n v="-3300"/>
  </r>
  <r>
    <x v="246"/>
    <x v="178"/>
    <x v="123"/>
    <x v="4"/>
    <x v="2"/>
    <x v="3"/>
    <n v="5"/>
    <n v="4800"/>
    <x v="5"/>
    <n v="900"/>
  </r>
  <r>
    <x v="247"/>
    <x v="103"/>
    <x v="69"/>
    <x v="3"/>
    <x v="0"/>
    <x v="2"/>
    <n v="4"/>
    <n v="1000"/>
    <x v="1"/>
    <n v="450"/>
  </r>
  <r>
    <x v="248"/>
    <x v="31"/>
    <x v="124"/>
    <x v="4"/>
    <x v="2"/>
    <x v="0"/>
    <n v="3"/>
    <n v="2880"/>
    <x v="5"/>
    <n v="540"/>
  </r>
  <r>
    <x v="249"/>
    <x v="179"/>
    <x v="125"/>
    <x v="0"/>
    <x v="0"/>
    <x v="0"/>
    <n v="2"/>
    <n v="306"/>
    <x v="4"/>
    <n v="108"/>
  </r>
  <r>
    <x v="250"/>
    <x v="180"/>
    <x v="25"/>
    <x v="0"/>
    <x v="0"/>
    <x v="0"/>
    <n v="2"/>
    <n v="342"/>
    <x v="2"/>
    <n v="144"/>
  </r>
  <r>
    <x v="251"/>
    <x v="181"/>
    <x v="76"/>
    <x v="8"/>
    <x v="3"/>
    <x v="3"/>
    <n v="2"/>
    <n v="99000"/>
    <x v="3"/>
    <n v="8800"/>
  </r>
  <r>
    <x v="252"/>
    <x v="182"/>
    <x v="121"/>
    <x v="3"/>
    <x v="0"/>
    <x v="1"/>
    <n v="3"/>
    <n v="637.5"/>
    <x v="4"/>
    <n v="225"/>
  </r>
  <r>
    <x v="253"/>
    <x v="183"/>
    <x v="26"/>
    <x v="1"/>
    <x v="1"/>
    <x v="3"/>
    <n v="5"/>
    <n v="63750"/>
    <x v="4"/>
    <n v="9750"/>
  </r>
  <r>
    <x v="254"/>
    <x v="157"/>
    <x v="113"/>
    <x v="8"/>
    <x v="3"/>
    <x v="2"/>
    <n v="4"/>
    <n v="220000"/>
    <x v="1"/>
    <n v="39600"/>
  </r>
  <r>
    <x v="255"/>
    <x v="184"/>
    <x v="102"/>
    <x v="9"/>
    <x v="2"/>
    <x v="1"/>
    <n v="3"/>
    <n v="4320"/>
    <x v="5"/>
    <n v="810"/>
  </r>
  <r>
    <x v="256"/>
    <x v="112"/>
    <x v="102"/>
    <x v="2"/>
    <x v="1"/>
    <x v="3"/>
    <n v="3"/>
    <n v="36000"/>
    <x v="1"/>
    <n v="10080"/>
  </r>
  <r>
    <x v="257"/>
    <x v="185"/>
    <x v="102"/>
    <x v="8"/>
    <x v="3"/>
    <x v="1"/>
    <n v="3"/>
    <n v="156750"/>
    <x v="2"/>
    <n v="21450"/>
  </r>
  <r>
    <x v="258"/>
    <x v="49"/>
    <x v="3"/>
    <x v="10"/>
    <x v="3"/>
    <x v="3"/>
    <n v="3"/>
    <n v="148500"/>
    <x v="3"/>
    <n v="13200"/>
  </r>
  <r>
    <x v="259"/>
    <x v="186"/>
    <x v="113"/>
    <x v="2"/>
    <x v="1"/>
    <x v="3"/>
    <n v="2"/>
    <n v="20400"/>
    <x v="4"/>
    <n v="3120"/>
  </r>
  <r>
    <x v="260"/>
    <x v="107"/>
    <x v="126"/>
    <x v="5"/>
    <x v="3"/>
    <x v="3"/>
    <n v="1"/>
    <n v="3375"/>
    <x v="0"/>
    <n v="-315"/>
  </r>
  <r>
    <x v="261"/>
    <x v="35"/>
    <x v="4"/>
    <x v="1"/>
    <x v="1"/>
    <x v="3"/>
    <n v="3"/>
    <n v="33750"/>
    <x v="0"/>
    <n v="1350"/>
  </r>
  <r>
    <x v="262"/>
    <x v="20"/>
    <x v="92"/>
    <x v="8"/>
    <x v="3"/>
    <x v="0"/>
    <n v="2"/>
    <n v="88000"/>
    <x v="5"/>
    <n v="-2200"/>
  </r>
  <r>
    <x v="263"/>
    <x v="187"/>
    <x v="40"/>
    <x v="4"/>
    <x v="2"/>
    <x v="1"/>
    <n v="4"/>
    <n v="4320"/>
    <x v="3"/>
    <n v="1200"/>
  </r>
  <r>
    <x v="264"/>
    <x v="86"/>
    <x v="127"/>
    <x v="4"/>
    <x v="2"/>
    <x v="3"/>
    <n v="1"/>
    <n v="1200"/>
    <x v="1"/>
    <n v="420"/>
  </r>
  <r>
    <x v="265"/>
    <x v="34"/>
    <x v="27"/>
    <x v="6"/>
    <x v="3"/>
    <x v="1"/>
    <n v="4"/>
    <n v="120000"/>
    <x v="1"/>
    <n v="21600"/>
  </r>
  <r>
    <x v="266"/>
    <x v="20"/>
    <x v="118"/>
    <x v="7"/>
    <x v="2"/>
    <x v="2"/>
    <n v="3"/>
    <n v="6270"/>
    <x v="2"/>
    <n v="1980"/>
  </r>
  <r>
    <x v="267"/>
    <x v="122"/>
    <x v="66"/>
    <x v="2"/>
    <x v="1"/>
    <x v="2"/>
    <n v="4"/>
    <n v="43200"/>
    <x v="3"/>
    <n v="8640"/>
  </r>
  <r>
    <x v="268"/>
    <x v="188"/>
    <x v="0"/>
    <x v="9"/>
    <x v="2"/>
    <x v="0"/>
    <n v="3"/>
    <n v="4050"/>
    <x v="0"/>
    <n v="540"/>
  </r>
  <r>
    <x v="269"/>
    <x v="189"/>
    <x v="116"/>
    <x v="6"/>
    <x v="3"/>
    <x v="3"/>
    <n v="2"/>
    <n v="54000"/>
    <x v="3"/>
    <n v="4800"/>
  </r>
  <r>
    <x v="270"/>
    <x v="190"/>
    <x v="1"/>
    <x v="4"/>
    <x v="2"/>
    <x v="0"/>
    <n v="1"/>
    <n v="900"/>
    <x v="0"/>
    <n v="120"/>
  </r>
  <r>
    <x v="271"/>
    <x v="31"/>
    <x v="57"/>
    <x v="8"/>
    <x v="3"/>
    <x v="2"/>
    <n v="4"/>
    <n v="165000"/>
    <x v="0"/>
    <n v="-15400"/>
  </r>
  <r>
    <x v="272"/>
    <x v="92"/>
    <x v="122"/>
    <x v="3"/>
    <x v="0"/>
    <x v="2"/>
    <n v="4"/>
    <n v="850"/>
    <x v="4"/>
    <n v="300"/>
  </r>
  <r>
    <x v="273"/>
    <x v="191"/>
    <x v="35"/>
    <x v="8"/>
    <x v="3"/>
    <x v="2"/>
    <n v="1"/>
    <n v="44000"/>
    <x v="5"/>
    <n v="-1100"/>
  </r>
  <r>
    <x v="274"/>
    <x v="67"/>
    <x v="53"/>
    <x v="3"/>
    <x v="0"/>
    <x v="2"/>
    <n v="2"/>
    <n v="375"/>
    <x v="0"/>
    <n v="100"/>
  </r>
  <r>
    <x v="275"/>
    <x v="85"/>
    <x v="45"/>
    <x v="6"/>
    <x v="3"/>
    <x v="3"/>
    <n v="2"/>
    <n v="60000"/>
    <x v="1"/>
    <n v="10800"/>
  </r>
  <r>
    <x v="276"/>
    <x v="192"/>
    <x v="90"/>
    <x v="5"/>
    <x v="3"/>
    <x v="3"/>
    <n v="3"/>
    <n v="13500"/>
    <x v="1"/>
    <n v="2430"/>
  </r>
  <r>
    <x v="277"/>
    <x v="123"/>
    <x v="51"/>
    <x v="4"/>
    <x v="2"/>
    <x v="2"/>
    <n v="2"/>
    <n v="1800"/>
    <x v="0"/>
    <n v="240"/>
  </r>
  <r>
    <x v="278"/>
    <x v="186"/>
    <x v="5"/>
    <x v="2"/>
    <x v="1"/>
    <x v="2"/>
    <n v="3"/>
    <n v="32400"/>
    <x v="3"/>
    <n v="6480"/>
  </r>
  <r>
    <x v="279"/>
    <x v="193"/>
    <x v="14"/>
    <x v="7"/>
    <x v="2"/>
    <x v="1"/>
    <n v="2"/>
    <n v="3960"/>
    <x v="3"/>
    <n v="1100"/>
  </r>
  <r>
    <x v="280"/>
    <x v="108"/>
    <x v="128"/>
    <x v="7"/>
    <x v="2"/>
    <x v="1"/>
    <n v="3"/>
    <n v="5610"/>
    <x v="4"/>
    <n v="1320"/>
  </r>
  <r>
    <x v="281"/>
    <x v="35"/>
    <x v="108"/>
    <x v="4"/>
    <x v="2"/>
    <x v="2"/>
    <n v="5"/>
    <n v="5400"/>
    <x v="3"/>
    <n v="1500"/>
  </r>
  <r>
    <x v="282"/>
    <x v="194"/>
    <x v="104"/>
    <x v="2"/>
    <x v="1"/>
    <x v="3"/>
    <n v="5"/>
    <n v="57000"/>
    <x v="2"/>
    <n v="13800"/>
  </r>
  <r>
    <x v="283"/>
    <x v="140"/>
    <x v="49"/>
    <x v="5"/>
    <x v="3"/>
    <x v="0"/>
    <n v="4"/>
    <n v="16200"/>
    <x v="3"/>
    <n v="1440"/>
  </r>
  <r>
    <x v="284"/>
    <x v="92"/>
    <x v="16"/>
    <x v="9"/>
    <x v="2"/>
    <x v="0"/>
    <n v="1"/>
    <n v="1620"/>
    <x v="3"/>
    <n v="450"/>
  </r>
  <r>
    <x v="285"/>
    <x v="85"/>
    <x v="91"/>
    <x v="3"/>
    <x v="0"/>
    <x v="0"/>
    <n v="1"/>
    <n v="200"/>
    <x v="5"/>
    <n v="62.5"/>
  </r>
  <r>
    <x v="286"/>
    <x v="131"/>
    <x v="81"/>
    <x v="7"/>
    <x v="2"/>
    <x v="1"/>
    <n v="5"/>
    <n v="8800"/>
    <x v="5"/>
    <n v="1650"/>
  </r>
  <r>
    <x v="287"/>
    <x v="139"/>
    <x v="62"/>
    <x v="2"/>
    <x v="1"/>
    <x v="0"/>
    <n v="4"/>
    <n v="48000"/>
    <x v="1"/>
    <n v="13440"/>
  </r>
  <r>
    <x v="288"/>
    <x v="195"/>
    <x v="20"/>
    <x v="2"/>
    <x v="1"/>
    <x v="3"/>
    <n v="2"/>
    <n v="20400"/>
    <x v="4"/>
    <n v="3120"/>
  </r>
  <r>
    <x v="289"/>
    <x v="116"/>
    <x v="39"/>
    <x v="6"/>
    <x v="3"/>
    <x v="2"/>
    <n v="4"/>
    <n v="108000"/>
    <x v="3"/>
    <n v="9600"/>
  </r>
  <r>
    <x v="290"/>
    <x v="196"/>
    <x v="44"/>
    <x v="3"/>
    <x v="0"/>
    <x v="1"/>
    <n v="5"/>
    <n v="1187.5"/>
    <x v="2"/>
    <n v="500"/>
  </r>
  <r>
    <x v="291"/>
    <x v="86"/>
    <x v="123"/>
    <x v="1"/>
    <x v="1"/>
    <x v="1"/>
    <n v="1"/>
    <n v="15000"/>
    <x v="1"/>
    <n v="4200"/>
  </r>
  <r>
    <x v="292"/>
    <x v="197"/>
    <x v="110"/>
    <x v="0"/>
    <x v="0"/>
    <x v="3"/>
    <n v="2"/>
    <n v="342"/>
    <x v="2"/>
    <n v="144"/>
  </r>
  <r>
    <x v="293"/>
    <x v="198"/>
    <x v="52"/>
    <x v="1"/>
    <x v="1"/>
    <x v="2"/>
    <n v="5"/>
    <n v="75000"/>
    <x v="1"/>
    <n v="21000"/>
  </r>
  <r>
    <x v="294"/>
    <x v="199"/>
    <x v="129"/>
    <x v="9"/>
    <x v="2"/>
    <x v="0"/>
    <n v="1"/>
    <n v="1530"/>
    <x v="4"/>
    <n v="360"/>
  </r>
  <r>
    <x v="295"/>
    <x v="200"/>
    <x v="98"/>
    <x v="4"/>
    <x v="2"/>
    <x v="3"/>
    <n v="1"/>
    <n v="1140"/>
    <x v="2"/>
    <n v="360"/>
  </r>
  <r>
    <x v="296"/>
    <x v="109"/>
    <x v="50"/>
    <x v="8"/>
    <x v="3"/>
    <x v="3"/>
    <n v="4"/>
    <n v="220000"/>
    <x v="1"/>
    <n v="39600"/>
  </r>
  <r>
    <x v="297"/>
    <x v="201"/>
    <x v="130"/>
    <x v="7"/>
    <x v="2"/>
    <x v="2"/>
    <n v="3"/>
    <n v="5940"/>
    <x v="3"/>
    <n v="1650"/>
  </r>
  <r>
    <x v="298"/>
    <x v="44"/>
    <x v="17"/>
    <x v="4"/>
    <x v="2"/>
    <x v="0"/>
    <n v="1"/>
    <n v="1080"/>
    <x v="3"/>
    <n v="300"/>
  </r>
  <r>
    <x v="299"/>
    <x v="0"/>
    <x v="107"/>
    <x v="3"/>
    <x v="0"/>
    <x v="0"/>
    <n v="4"/>
    <n v="950"/>
    <x v="2"/>
    <n v="400"/>
  </r>
  <r>
    <x v="300"/>
    <x v="202"/>
    <x v="96"/>
    <x v="9"/>
    <x v="2"/>
    <x v="1"/>
    <n v="4"/>
    <n v="6480"/>
    <x v="3"/>
    <n v="1800"/>
  </r>
  <r>
    <x v="301"/>
    <x v="131"/>
    <x v="95"/>
    <x v="2"/>
    <x v="1"/>
    <x v="2"/>
    <n v="2"/>
    <n v="18000"/>
    <x v="0"/>
    <n v="720"/>
  </r>
  <r>
    <x v="302"/>
    <x v="203"/>
    <x v="117"/>
    <x v="8"/>
    <x v="3"/>
    <x v="0"/>
    <n v="3"/>
    <n v="148500"/>
    <x v="3"/>
    <n v="13200"/>
  </r>
  <r>
    <x v="303"/>
    <x v="108"/>
    <x v="95"/>
    <x v="8"/>
    <x v="3"/>
    <x v="0"/>
    <n v="1"/>
    <n v="49500"/>
    <x v="3"/>
    <n v="4400"/>
  </r>
  <r>
    <x v="304"/>
    <x v="204"/>
    <x v="131"/>
    <x v="6"/>
    <x v="3"/>
    <x v="0"/>
    <n v="3"/>
    <n v="90000"/>
    <x v="1"/>
    <n v="16200"/>
  </r>
  <r>
    <x v="305"/>
    <x v="32"/>
    <x v="58"/>
    <x v="4"/>
    <x v="2"/>
    <x v="3"/>
    <n v="3"/>
    <n v="3240"/>
    <x v="3"/>
    <n v="900"/>
  </r>
  <r>
    <x v="306"/>
    <x v="86"/>
    <x v="83"/>
    <x v="2"/>
    <x v="1"/>
    <x v="0"/>
    <n v="2"/>
    <n v="22800"/>
    <x v="2"/>
    <n v="5520"/>
  </r>
  <r>
    <x v="307"/>
    <x v="205"/>
    <x v="48"/>
    <x v="0"/>
    <x v="0"/>
    <x v="3"/>
    <n v="5"/>
    <n v="810"/>
    <x v="3"/>
    <n v="315"/>
  </r>
  <r>
    <x v="308"/>
    <x v="10"/>
    <x v="106"/>
    <x v="6"/>
    <x v="3"/>
    <x v="2"/>
    <n v="1"/>
    <n v="24000"/>
    <x v="5"/>
    <n v="-600"/>
  </r>
  <r>
    <x v="309"/>
    <x v="158"/>
    <x v="25"/>
    <x v="8"/>
    <x v="3"/>
    <x v="1"/>
    <n v="2"/>
    <n v="88000"/>
    <x v="5"/>
    <n v="-2200"/>
  </r>
  <r>
    <x v="310"/>
    <x v="43"/>
    <x v="17"/>
    <x v="9"/>
    <x v="2"/>
    <x v="3"/>
    <n v="1"/>
    <n v="1530"/>
    <x v="4"/>
    <n v="360"/>
  </r>
  <r>
    <x v="311"/>
    <x v="206"/>
    <x v="121"/>
    <x v="1"/>
    <x v="1"/>
    <x v="0"/>
    <n v="5"/>
    <n v="67500"/>
    <x v="3"/>
    <n v="13500"/>
  </r>
  <r>
    <x v="312"/>
    <x v="174"/>
    <x v="90"/>
    <x v="8"/>
    <x v="3"/>
    <x v="0"/>
    <n v="1"/>
    <n v="41250"/>
    <x v="0"/>
    <n v="-3850"/>
  </r>
  <r>
    <x v="313"/>
    <x v="207"/>
    <x v="5"/>
    <x v="4"/>
    <x v="2"/>
    <x v="2"/>
    <n v="3"/>
    <n v="2880"/>
    <x v="5"/>
    <n v="540"/>
  </r>
  <r>
    <x v="314"/>
    <x v="208"/>
    <x v="80"/>
    <x v="5"/>
    <x v="3"/>
    <x v="0"/>
    <n v="2"/>
    <n v="7650"/>
    <x v="4"/>
    <n v="270"/>
  </r>
  <r>
    <x v="315"/>
    <x v="14"/>
    <x v="101"/>
    <x v="8"/>
    <x v="3"/>
    <x v="2"/>
    <n v="1"/>
    <n v="52250"/>
    <x v="2"/>
    <n v="7150"/>
  </r>
  <r>
    <x v="316"/>
    <x v="209"/>
    <x v="107"/>
    <x v="0"/>
    <x v="0"/>
    <x v="1"/>
    <n v="5"/>
    <n v="855"/>
    <x v="2"/>
    <n v="360"/>
  </r>
  <r>
    <x v="317"/>
    <x v="190"/>
    <x v="132"/>
    <x v="8"/>
    <x v="3"/>
    <x v="1"/>
    <n v="3"/>
    <n v="156750"/>
    <x v="2"/>
    <n v="21450"/>
  </r>
  <r>
    <x v="318"/>
    <x v="210"/>
    <x v="83"/>
    <x v="7"/>
    <x v="2"/>
    <x v="2"/>
    <n v="2"/>
    <n v="3960"/>
    <x v="3"/>
    <n v="1100"/>
  </r>
  <r>
    <x v="319"/>
    <x v="58"/>
    <x v="133"/>
    <x v="9"/>
    <x v="2"/>
    <x v="0"/>
    <n v="2"/>
    <n v="3240"/>
    <x v="3"/>
    <n v="900"/>
  </r>
  <r>
    <x v="320"/>
    <x v="195"/>
    <x v="3"/>
    <x v="6"/>
    <x v="3"/>
    <x v="3"/>
    <n v="5"/>
    <n v="142500"/>
    <x v="2"/>
    <n v="19500"/>
  </r>
  <r>
    <x v="321"/>
    <x v="211"/>
    <x v="124"/>
    <x v="0"/>
    <x v="0"/>
    <x v="3"/>
    <n v="2"/>
    <n v="306"/>
    <x v="4"/>
    <n v="108"/>
  </r>
  <r>
    <x v="322"/>
    <x v="212"/>
    <x v="24"/>
    <x v="1"/>
    <x v="1"/>
    <x v="3"/>
    <n v="4"/>
    <n v="45000"/>
    <x v="0"/>
    <n v="1800"/>
  </r>
  <r>
    <x v="323"/>
    <x v="57"/>
    <x v="56"/>
    <x v="2"/>
    <x v="1"/>
    <x v="2"/>
    <n v="5"/>
    <n v="54000"/>
    <x v="3"/>
    <n v="10800"/>
  </r>
  <r>
    <x v="324"/>
    <x v="154"/>
    <x v="16"/>
    <x v="2"/>
    <x v="1"/>
    <x v="1"/>
    <n v="5"/>
    <n v="57000"/>
    <x v="2"/>
    <n v="13800"/>
  </r>
  <r>
    <x v="325"/>
    <x v="213"/>
    <x v="125"/>
    <x v="7"/>
    <x v="2"/>
    <x v="1"/>
    <n v="4"/>
    <n v="7480"/>
    <x v="4"/>
    <n v="1760"/>
  </r>
  <r>
    <x v="326"/>
    <x v="146"/>
    <x v="87"/>
    <x v="7"/>
    <x v="2"/>
    <x v="1"/>
    <n v="1"/>
    <n v="1980"/>
    <x v="3"/>
    <n v="550"/>
  </r>
  <r>
    <x v="327"/>
    <x v="214"/>
    <x v="32"/>
    <x v="7"/>
    <x v="2"/>
    <x v="1"/>
    <n v="5"/>
    <n v="10450"/>
    <x v="2"/>
    <n v="3300"/>
  </r>
  <r>
    <x v="328"/>
    <x v="146"/>
    <x v="37"/>
    <x v="2"/>
    <x v="1"/>
    <x v="0"/>
    <n v="4"/>
    <n v="43200"/>
    <x v="3"/>
    <n v="8640"/>
  </r>
  <r>
    <x v="329"/>
    <x v="215"/>
    <x v="111"/>
    <x v="9"/>
    <x v="2"/>
    <x v="2"/>
    <n v="5"/>
    <n v="8100"/>
    <x v="3"/>
    <n v="2250"/>
  </r>
  <r>
    <x v="330"/>
    <x v="185"/>
    <x v="65"/>
    <x v="3"/>
    <x v="0"/>
    <x v="3"/>
    <n v="5"/>
    <n v="1000"/>
    <x v="5"/>
    <n v="312.5"/>
  </r>
  <r>
    <x v="331"/>
    <x v="4"/>
    <x v="0"/>
    <x v="7"/>
    <x v="2"/>
    <x v="1"/>
    <n v="2"/>
    <n v="4180"/>
    <x v="2"/>
    <n v="1320"/>
  </r>
  <r>
    <x v="332"/>
    <x v="216"/>
    <x v="131"/>
    <x v="8"/>
    <x v="3"/>
    <x v="1"/>
    <n v="2"/>
    <n v="104500"/>
    <x v="2"/>
    <n v="14300"/>
  </r>
  <r>
    <x v="333"/>
    <x v="92"/>
    <x v="12"/>
    <x v="5"/>
    <x v="3"/>
    <x v="2"/>
    <n v="4"/>
    <n v="16200"/>
    <x v="3"/>
    <n v="1440"/>
  </r>
  <r>
    <x v="334"/>
    <x v="89"/>
    <x v="54"/>
    <x v="5"/>
    <x v="3"/>
    <x v="3"/>
    <n v="4"/>
    <n v="18000"/>
    <x v="1"/>
    <n v="3240"/>
  </r>
  <r>
    <x v="335"/>
    <x v="121"/>
    <x v="111"/>
    <x v="8"/>
    <x v="3"/>
    <x v="0"/>
    <n v="3"/>
    <n v="132000"/>
    <x v="5"/>
    <n v="-3300"/>
  </r>
  <r>
    <x v="336"/>
    <x v="31"/>
    <x v="77"/>
    <x v="8"/>
    <x v="3"/>
    <x v="2"/>
    <n v="5"/>
    <n v="247500"/>
    <x v="3"/>
    <n v="22000"/>
  </r>
  <r>
    <x v="337"/>
    <x v="217"/>
    <x v="110"/>
    <x v="4"/>
    <x v="2"/>
    <x v="1"/>
    <n v="5"/>
    <n v="5400"/>
    <x v="3"/>
    <n v="1500"/>
  </r>
  <r>
    <x v="338"/>
    <x v="125"/>
    <x v="100"/>
    <x v="5"/>
    <x v="3"/>
    <x v="0"/>
    <n v="5"/>
    <n v="19125"/>
    <x v="4"/>
    <n v="675"/>
  </r>
  <r>
    <x v="339"/>
    <x v="64"/>
    <x v="43"/>
    <x v="0"/>
    <x v="0"/>
    <x v="3"/>
    <n v="1"/>
    <n v="153"/>
    <x v="4"/>
    <n v="54"/>
  </r>
  <r>
    <x v="340"/>
    <x v="51"/>
    <x v="76"/>
    <x v="2"/>
    <x v="1"/>
    <x v="2"/>
    <n v="2"/>
    <n v="22800"/>
    <x v="2"/>
    <n v="5520"/>
  </r>
  <r>
    <x v="341"/>
    <x v="161"/>
    <x v="68"/>
    <x v="2"/>
    <x v="1"/>
    <x v="0"/>
    <n v="5"/>
    <n v="48000"/>
    <x v="5"/>
    <n v="4800"/>
  </r>
  <r>
    <x v="342"/>
    <x v="174"/>
    <x v="107"/>
    <x v="3"/>
    <x v="0"/>
    <x v="1"/>
    <n v="1"/>
    <n v="225"/>
    <x v="3"/>
    <n v="87.5"/>
  </r>
  <r>
    <x v="343"/>
    <x v="154"/>
    <x v="134"/>
    <x v="6"/>
    <x v="3"/>
    <x v="1"/>
    <n v="4"/>
    <n v="102000"/>
    <x v="4"/>
    <n v="3600"/>
  </r>
  <r>
    <x v="344"/>
    <x v="118"/>
    <x v="135"/>
    <x v="3"/>
    <x v="0"/>
    <x v="2"/>
    <n v="2"/>
    <n v="425"/>
    <x v="4"/>
    <n v="150"/>
  </r>
  <r>
    <x v="345"/>
    <x v="2"/>
    <x v="136"/>
    <x v="5"/>
    <x v="3"/>
    <x v="0"/>
    <n v="2"/>
    <n v="6750"/>
    <x v="0"/>
    <n v="-630"/>
  </r>
  <r>
    <x v="346"/>
    <x v="218"/>
    <x v="109"/>
    <x v="5"/>
    <x v="3"/>
    <x v="2"/>
    <n v="2"/>
    <n v="8100"/>
    <x v="3"/>
    <n v="720"/>
  </r>
  <r>
    <x v="347"/>
    <x v="219"/>
    <x v="50"/>
    <x v="7"/>
    <x v="2"/>
    <x v="0"/>
    <n v="4"/>
    <n v="6600"/>
    <x v="0"/>
    <n v="880"/>
  </r>
  <r>
    <x v="348"/>
    <x v="220"/>
    <x v="108"/>
    <x v="0"/>
    <x v="0"/>
    <x v="1"/>
    <n v="2"/>
    <n v="360"/>
    <x v="1"/>
    <n v="162"/>
  </r>
  <r>
    <x v="349"/>
    <x v="210"/>
    <x v="28"/>
    <x v="8"/>
    <x v="3"/>
    <x v="2"/>
    <n v="4"/>
    <n v="165000"/>
    <x v="0"/>
    <n v="-15400"/>
  </r>
  <r>
    <x v="350"/>
    <x v="95"/>
    <x v="98"/>
    <x v="0"/>
    <x v="0"/>
    <x v="1"/>
    <n v="4"/>
    <n v="540"/>
    <x v="0"/>
    <n v="144"/>
  </r>
  <r>
    <x v="351"/>
    <x v="221"/>
    <x v="134"/>
    <x v="9"/>
    <x v="2"/>
    <x v="1"/>
    <n v="4"/>
    <n v="6840"/>
    <x v="2"/>
    <n v="2160"/>
  </r>
  <r>
    <x v="352"/>
    <x v="51"/>
    <x v="74"/>
    <x v="3"/>
    <x v="0"/>
    <x v="1"/>
    <n v="2"/>
    <n v="425"/>
    <x v="4"/>
    <n v="150"/>
  </r>
  <r>
    <x v="353"/>
    <x v="170"/>
    <x v="19"/>
    <x v="3"/>
    <x v="0"/>
    <x v="0"/>
    <n v="4"/>
    <n v="850"/>
    <x v="4"/>
    <n v="300"/>
  </r>
  <r>
    <x v="354"/>
    <x v="222"/>
    <x v="83"/>
    <x v="0"/>
    <x v="0"/>
    <x v="2"/>
    <n v="2"/>
    <n v="342"/>
    <x v="2"/>
    <n v="144"/>
  </r>
  <r>
    <x v="355"/>
    <x v="223"/>
    <x v="108"/>
    <x v="4"/>
    <x v="2"/>
    <x v="2"/>
    <n v="1"/>
    <n v="1080"/>
    <x v="3"/>
    <n v="300"/>
  </r>
  <r>
    <x v="356"/>
    <x v="50"/>
    <x v="55"/>
    <x v="5"/>
    <x v="3"/>
    <x v="1"/>
    <n v="3"/>
    <n v="12150"/>
    <x v="3"/>
    <n v="1080"/>
  </r>
  <r>
    <x v="357"/>
    <x v="125"/>
    <x v="10"/>
    <x v="7"/>
    <x v="2"/>
    <x v="0"/>
    <n v="4"/>
    <n v="6600"/>
    <x v="0"/>
    <n v="880"/>
  </r>
  <r>
    <x v="358"/>
    <x v="83"/>
    <x v="137"/>
    <x v="5"/>
    <x v="3"/>
    <x v="1"/>
    <n v="2"/>
    <n v="7200"/>
    <x v="5"/>
    <n v="-180"/>
  </r>
  <r>
    <x v="359"/>
    <x v="200"/>
    <x v="20"/>
    <x v="0"/>
    <x v="0"/>
    <x v="3"/>
    <n v="4"/>
    <n v="612"/>
    <x v="4"/>
    <n v="216"/>
  </r>
  <r>
    <x v="360"/>
    <x v="224"/>
    <x v="138"/>
    <x v="6"/>
    <x v="3"/>
    <x v="0"/>
    <n v="3"/>
    <n v="85500"/>
    <x v="2"/>
    <n v="11700"/>
  </r>
  <r>
    <x v="361"/>
    <x v="43"/>
    <x v="87"/>
    <x v="6"/>
    <x v="3"/>
    <x v="2"/>
    <n v="1"/>
    <n v="27000"/>
    <x v="3"/>
    <n v="2400"/>
  </r>
  <r>
    <x v="362"/>
    <x v="113"/>
    <x v="71"/>
    <x v="8"/>
    <x v="3"/>
    <x v="0"/>
    <n v="5"/>
    <n v="261250"/>
    <x v="2"/>
    <n v="35750"/>
  </r>
  <r>
    <x v="363"/>
    <x v="113"/>
    <x v="127"/>
    <x v="6"/>
    <x v="3"/>
    <x v="1"/>
    <n v="5"/>
    <n v="150000"/>
    <x v="1"/>
    <n v="27000"/>
  </r>
  <r>
    <x v="364"/>
    <x v="31"/>
    <x v="130"/>
    <x v="2"/>
    <x v="1"/>
    <x v="3"/>
    <n v="2"/>
    <n v="22800"/>
    <x v="2"/>
    <n v="5520"/>
  </r>
  <r>
    <x v="365"/>
    <x v="219"/>
    <x v="98"/>
    <x v="6"/>
    <x v="3"/>
    <x v="3"/>
    <n v="4"/>
    <n v="114000"/>
    <x v="2"/>
    <n v="15600"/>
  </r>
  <r>
    <x v="366"/>
    <x v="190"/>
    <x v="139"/>
    <x v="6"/>
    <x v="3"/>
    <x v="3"/>
    <n v="2"/>
    <n v="57000"/>
    <x v="2"/>
    <n v="7800"/>
  </r>
  <r>
    <x v="367"/>
    <x v="134"/>
    <x v="90"/>
    <x v="4"/>
    <x v="2"/>
    <x v="1"/>
    <n v="3"/>
    <n v="3600"/>
    <x v="1"/>
    <n v="1260"/>
  </r>
  <r>
    <x v="368"/>
    <x v="225"/>
    <x v="23"/>
    <x v="5"/>
    <x v="3"/>
    <x v="1"/>
    <n v="4"/>
    <n v="16200"/>
    <x v="3"/>
    <n v="1440"/>
  </r>
  <r>
    <x v="369"/>
    <x v="226"/>
    <x v="85"/>
    <x v="8"/>
    <x v="3"/>
    <x v="1"/>
    <n v="5"/>
    <n v="247500"/>
    <x v="3"/>
    <n v="22000"/>
  </r>
  <r>
    <x v="370"/>
    <x v="218"/>
    <x v="52"/>
    <x v="3"/>
    <x v="0"/>
    <x v="1"/>
    <n v="2"/>
    <n v="500"/>
    <x v="1"/>
    <n v="225"/>
  </r>
  <r>
    <x v="371"/>
    <x v="151"/>
    <x v="48"/>
    <x v="5"/>
    <x v="3"/>
    <x v="0"/>
    <n v="3"/>
    <n v="12150"/>
    <x v="3"/>
    <n v="1080"/>
  </r>
  <r>
    <x v="372"/>
    <x v="227"/>
    <x v="127"/>
    <x v="0"/>
    <x v="0"/>
    <x v="0"/>
    <n v="2"/>
    <n v="360"/>
    <x v="1"/>
    <n v="162"/>
  </r>
  <r>
    <x v="373"/>
    <x v="14"/>
    <x v="63"/>
    <x v="7"/>
    <x v="2"/>
    <x v="0"/>
    <n v="2"/>
    <n v="4180"/>
    <x v="2"/>
    <n v="1320"/>
  </r>
  <r>
    <x v="374"/>
    <x v="228"/>
    <x v="10"/>
    <x v="7"/>
    <x v="2"/>
    <x v="0"/>
    <n v="2"/>
    <n v="3960"/>
    <x v="3"/>
    <n v="1100"/>
  </r>
  <r>
    <x v="375"/>
    <x v="13"/>
    <x v="13"/>
    <x v="2"/>
    <x v="1"/>
    <x v="3"/>
    <n v="1"/>
    <n v="12000"/>
    <x v="1"/>
    <n v="3360"/>
  </r>
  <r>
    <x v="376"/>
    <x v="58"/>
    <x v="46"/>
    <x v="1"/>
    <x v="1"/>
    <x v="2"/>
    <n v="4"/>
    <n v="57000"/>
    <x v="2"/>
    <n v="13800"/>
  </r>
  <r>
    <x v="377"/>
    <x v="229"/>
    <x v="10"/>
    <x v="2"/>
    <x v="1"/>
    <x v="1"/>
    <n v="2"/>
    <n v="22800"/>
    <x v="2"/>
    <n v="5520"/>
  </r>
  <r>
    <x v="378"/>
    <x v="125"/>
    <x v="126"/>
    <x v="5"/>
    <x v="3"/>
    <x v="2"/>
    <n v="1"/>
    <n v="4050"/>
    <x v="3"/>
    <n v="360"/>
  </r>
  <r>
    <x v="379"/>
    <x v="40"/>
    <x v="112"/>
    <x v="8"/>
    <x v="3"/>
    <x v="0"/>
    <n v="1"/>
    <n v="55000"/>
    <x v="1"/>
    <n v="9900"/>
  </r>
  <r>
    <x v="380"/>
    <x v="22"/>
    <x v="122"/>
    <x v="8"/>
    <x v="3"/>
    <x v="2"/>
    <n v="2"/>
    <n v="99000"/>
    <x v="3"/>
    <n v="8800"/>
  </r>
  <r>
    <x v="381"/>
    <x v="158"/>
    <x v="126"/>
    <x v="6"/>
    <x v="3"/>
    <x v="1"/>
    <n v="2"/>
    <n v="57000"/>
    <x v="2"/>
    <n v="7800"/>
  </r>
  <r>
    <x v="382"/>
    <x v="230"/>
    <x v="127"/>
    <x v="0"/>
    <x v="0"/>
    <x v="0"/>
    <n v="2"/>
    <n v="342"/>
    <x v="2"/>
    <n v="144"/>
  </r>
  <r>
    <x v="383"/>
    <x v="231"/>
    <x v="55"/>
    <x v="0"/>
    <x v="0"/>
    <x v="1"/>
    <n v="5"/>
    <n v="900"/>
    <x v="1"/>
    <n v="405"/>
  </r>
  <r>
    <x v="384"/>
    <x v="232"/>
    <x v="118"/>
    <x v="9"/>
    <x v="2"/>
    <x v="0"/>
    <n v="1"/>
    <n v="1530"/>
    <x v="4"/>
    <n v="360"/>
  </r>
  <r>
    <x v="385"/>
    <x v="195"/>
    <x v="13"/>
    <x v="2"/>
    <x v="1"/>
    <x v="1"/>
    <n v="5"/>
    <n v="57000"/>
    <x v="2"/>
    <n v="13800"/>
  </r>
  <r>
    <x v="386"/>
    <x v="16"/>
    <x v="98"/>
    <x v="5"/>
    <x v="3"/>
    <x v="2"/>
    <n v="3"/>
    <n v="12825"/>
    <x v="2"/>
    <n v="1755"/>
  </r>
  <r>
    <x v="387"/>
    <x v="206"/>
    <x v="7"/>
    <x v="3"/>
    <x v="0"/>
    <x v="3"/>
    <n v="2"/>
    <n v="500"/>
    <x v="1"/>
    <n v="225"/>
  </r>
  <r>
    <x v="388"/>
    <x v="233"/>
    <x v="19"/>
    <x v="9"/>
    <x v="2"/>
    <x v="0"/>
    <n v="1"/>
    <n v="1350"/>
    <x v="0"/>
    <n v="180"/>
  </r>
  <r>
    <x v="389"/>
    <x v="194"/>
    <x v="106"/>
    <x v="2"/>
    <x v="1"/>
    <x v="2"/>
    <n v="1"/>
    <n v="10800"/>
    <x v="3"/>
    <n v="2160"/>
  </r>
  <r>
    <x v="390"/>
    <x v="2"/>
    <x v="100"/>
    <x v="1"/>
    <x v="1"/>
    <x v="0"/>
    <n v="4"/>
    <n v="57000"/>
    <x v="2"/>
    <n v="13800"/>
  </r>
  <r>
    <x v="391"/>
    <x v="234"/>
    <x v="3"/>
    <x v="1"/>
    <x v="1"/>
    <x v="0"/>
    <n v="4"/>
    <n v="60000"/>
    <x v="1"/>
    <n v="16800"/>
  </r>
  <r>
    <x v="392"/>
    <x v="235"/>
    <x v="117"/>
    <x v="9"/>
    <x v="2"/>
    <x v="2"/>
    <n v="2"/>
    <n v="3420"/>
    <x v="2"/>
    <n v="1080"/>
  </r>
  <r>
    <x v="393"/>
    <x v="124"/>
    <x v="116"/>
    <x v="7"/>
    <x v="2"/>
    <x v="3"/>
    <n v="1"/>
    <n v="2200"/>
    <x v="1"/>
    <n v="770"/>
  </r>
  <r>
    <x v="394"/>
    <x v="236"/>
    <x v="111"/>
    <x v="8"/>
    <x v="3"/>
    <x v="3"/>
    <n v="5"/>
    <n v="261250"/>
    <x v="2"/>
    <n v="35750"/>
  </r>
  <r>
    <x v="395"/>
    <x v="237"/>
    <x v="134"/>
    <x v="8"/>
    <x v="3"/>
    <x v="0"/>
    <n v="4"/>
    <n v="176000"/>
    <x v="5"/>
    <n v="-4400"/>
  </r>
  <r>
    <x v="396"/>
    <x v="88"/>
    <x v="48"/>
    <x v="1"/>
    <x v="1"/>
    <x v="2"/>
    <n v="4"/>
    <n v="60000"/>
    <x v="1"/>
    <n v="16800"/>
  </r>
  <r>
    <x v="397"/>
    <x v="2"/>
    <x v="102"/>
    <x v="4"/>
    <x v="2"/>
    <x v="0"/>
    <n v="4"/>
    <n v="4800"/>
    <x v="1"/>
    <n v="1680"/>
  </r>
  <r>
    <x v="398"/>
    <x v="145"/>
    <x v="9"/>
    <x v="2"/>
    <x v="1"/>
    <x v="0"/>
    <n v="3"/>
    <n v="27000"/>
    <x v="0"/>
    <n v="1080"/>
  </r>
  <r>
    <x v="399"/>
    <x v="126"/>
    <x v="29"/>
    <x v="3"/>
    <x v="0"/>
    <x v="3"/>
    <n v="3"/>
    <n v="637.5"/>
    <x v="4"/>
    <n v="225"/>
  </r>
  <r>
    <x v="400"/>
    <x v="100"/>
    <x v="31"/>
    <x v="3"/>
    <x v="0"/>
    <x v="1"/>
    <n v="3"/>
    <n v="750"/>
    <x v="1"/>
    <n v="337.5"/>
  </r>
  <r>
    <x v="401"/>
    <x v="238"/>
    <x v="28"/>
    <x v="4"/>
    <x v="2"/>
    <x v="1"/>
    <n v="5"/>
    <n v="6000"/>
    <x v="1"/>
    <n v="2100"/>
  </r>
  <r>
    <x v="402"/>
    <x v="130"/>
    <x v="92"/>
    <x v="8"/>
    <x v="3"/>
    <x v="2"/>
    <n v="4"/>
    <n v="187000"/>
    <x v="4"/>
    <n v="6600"/>
  </r>
  <r>
    <x v="403"/>
    <x v="239"/>
    <x v="20"/>
    <x v="6"/>
    <x v="3"/>
    <x v="0"/>
    <n v="3"/>
    <n v="85500"/>
    <x v="2"/>
    <n v="11700"/>
  </r>
  <r>
    <x v="404"/>
    <x v="240"/>
    <x v="18"/>
    <x v="4"/>
    <x v="2"/>
    <x v="2"/>
    <n v="4"/>
    <n v="4320"/>
    <x v="3"/>
    <n v="1200"/>
  </r>
  <r>
    <x v="405"/>
    <x v="151"/>
    <x v="93"/>
    <x v="3"/>
    <x v="0"/>
    <x v="2"/>
    <n v="4"/>
    <n v="850"/>
    <x v="4"/>
    <n v="300"/>
  </r>
  <r>
    <x v="406"/>
    <x v="116"/>
    <x v="129"/>
    <x v="1"/>
    <x v="1"/>
    <x v="1"/>
    <n v="1"/>
    <n v="12750"/>
    <x v="4"/>
    <n v="1950"/>
  </r>
  <r>
    <x v="407"/>
    <x v="241"/>
    <x v="135"/>
    <x v="5"/>
    <x v="3"/>
    <x v="1"/>
    <n v="5"/>
    <n v="22500"/>
    <x v="1"/>
    <n v="4050"/>
  </r>
  <r>
    <x v="408"/>
    <x v="242"/>
    <x v="34"/>
    <x v="2"/>
    <x v="1"/>
    <x v="2"/>
    <n v="2"/>
    <n v="19200"/>
    <x v="5"/>
    <n v="1920"/>
  </r>
  <r>
    <x v="409"/>
    <x v="225"/>
    <x v="103"/>
    <x v="1"/>
    <x v="1"/>
    <x v="0"/>
    <n v="5"/>
    <n v="75000"/>
    <x v="1"/>
    <n v="21000"/>
  </r>
  <r>
    <x v="410"/>
    <x v="243"/>
    <x v="73"/>
    <x v="2"/>
    <x v="1"/>
    <x v="3"/>
    <n v="1"/>
    <n v="10800"/>
    <x v="3"/>
    <n v="2160"/>
  </r>
  <r>
    <x v="411"/>
    <x v="244"/>
    <x v="5"/>
    <x v="9"/>
    <x v="2"/>
    <x v="1"/>
    <n v="5"/>
    <n v="8100"/>
    <x v="3"/>
    <n v="2250"/>
  </r>
  <r>
    <x v="412"/>
    <x v="245"/>
    <x v="33"/>
    <x v="9"/>
    <x v="2"/>
    <x v="3"/>
    <n v="2"/>
    <n v="3240"/>
    <x v="3"/>
    <n v="900"/>
  </r>
  <r>
    <x v="413"/>
    <x v="232"/>
    <x v="101"/>
    <x v="8"/>
    <x v="3"/>
    <x v="2"/>
    <n v="3"/>
    <n v="165000"/>
    <x v="1"/>
    <n v="29700"/>
  </r>
  <r>
    <x v="414"/>
    <x v="98"/>
    <x v="64"/>
    <x v="7"/>
    <x v="2"/>
    <x v="1"/>
    <n v="5"/>
    <n v="9350"/>
    <x v="4"/>
    <n v="2200"/>
  </r>
  <r>
    <x v="415"/>
    <x v="90"/>
    <x v="121"/>
    <x v="2"/>
    <x v="1"/>
    <x v="1"/>
    <n v="1"/>
    <n v="10800"/>
    <x v="3"/>
    <n v="2160"/>
  </r>
  <r>
    <x v="416"/>
    <x v="97"/>
    <x v="103"/>
    <x v="8"/>
    <x v="3"/>
    <x v="1"/>
    <n v="3"/>
    <n v="140250"/>
    <x v="4"/>
    <n v="4950"/>
  </r>
  <r>
    <x v="417"/>
    <x v="137"/>
    <x v="81"/>
    <x v="3"/>
    <x v="0"/>
    <x v="1"/>
    <n v="5"/>
    <n v="1250"/>
    <x v="1"/>
    <n v="562.5"/>
  </r>
  <r>
    <x v="418"/>
    <x v="246"/>
    <x v="18"/>
    <x v="3"/>
    <x v="0"/>
    <x v="1"/>
    <n v="4"/>
    <n v="950"/>
    <x v="2"/>
    <n v="400"/>
  </r>
  <r>
    <x v="419"/>
    <x v="101"/>
    <x v="131"/>
    <x v="1"/>
    <x v="1"/>
    <x v="3"/>
    <n v="1"/>
    <n v="13500"/>
    <x v="3"/>
    <n v="2700"/>
  </r>
  <r>
    <x v="420"/>
    <x v="247"/>
    <x v="24"/>
    <x v="8"/>
    <x v="3"/>
    <x v="0"/>
    <n v="5"/>
    <n v="233750"/>
    <x v="4"/>
    <n v="8250"/>
  </r>
  <r>
    <x v="421"/>
    <x v="102"/>
    <x v="130"/>
    <x v="5"/>
    <x v="3"/>
    <x v="1"/>
    <n v="2"/>
    <n v="7200"/>
    <x v="5"/>
    <n v="-180"/>
  </r>
  <r>
    <x v="422"/>
    <x v="182"/>
    <x v="98"/>
    <x v="1"/>
    <x v="1"/>
    <x v="1"/>
    <n v="4"/>
    <n v="51000"/>
    <x v="4"/>
    <n v="7800"/>
  </r>
  <r>
    <x v="423"/>
    <x v="199"/>
    <x v="31"/>
    <x v="3"/>
    <x v="0"/>
    <x v="2"/>
    <n v="2"/>
    <n v="500"/>
    <x v="1"/>
    <n v="225"/>
  </r>
  <r>
    <x v="424"/>
    <x v="63"/>
    <x v="129"/>
    <x v="5"/>
    <x v="3"/>
    <x v="0"/>
    <n v="1"/>
    <n v="3825"/>
    <x v="4"/>
    <n v="135"/>
  </r>
  <r>
    <x v="425"/>
    <x v="163"/>
    <x v="94"/>
    <x v="3"/>
    <x v="0"/>
    <x v="1"/>
    <n v="4"/>
    <n v="1000"/>
    <x v="1"/>
    <n v="450"/>
  </r>
  <r>
    <x v="426"/>
    <x v="80"/>
    <x v="8"/>
    <x v="9"/>
    <x v="2"/>
    <x v="2"/>
    <n v="1"/>
    <n v="1350"/>
    <x v="0"/>
    <n v="180"/>
  </r>
  <r>
    <x v="427"/>
    <x v="206"/>
    <x v="73"/>
    <x v="3"/>
    <x v="0"/>
    <x v="1"/>
    <n v="4"/>
    <n v="950"/>
    <x v="2"/>
    <n v="400"/>
  </r>
  <r>
    <x v="428"/>
    <x v="248"/>
    <x v="9"/>
    <x v="7"/>
    <x v="2"/>
    <x v="0"/>
    <n v="2"/>
    <n v="3520"/>
    <x v="5"/>
    <n v="660"/>
  </r>
  <r>
    <x v="429"/>
    <x v="159"/>
    <x v="124"/>
    <x v="2"/>
    <x v="1"/>
    <x v="0"/>
    <n v="3"/>
    <n v="36000"/>
    <x v="1"/>
    <n v="10080"/>
  </r>
  <r>
    <x v="430"/>
    <x v="112"/>
    <x v="129"/>
    <x v="1"/>
    <x v="1"/>
    <x v="3"/>
    <n v="4"/>
    <n v="57000"/>
    <x v="2"/>
    <n v="13800"/>
  </r>
  <r>
    <x v="431"/>
    <x v="249"/>
    <x v="134"/>
    <x v="6"/>
    <x v="3"/>
    <x v="2"/>
    <n v="3"/>
    <n v="67500"/>
    <x v="0"/>
    <n v="-6300"/>
  </r>
  <r>
    <x v="432"/>
    <x v="170"/>
    <x v="103"/>
    <x v="7"/>
    <x v="2"/>
    <x v="0"/>
    <n v="4"/>
    <n v="7480"/>
    <x v="4"/>
    <n v="1760"/>
  </r>
  <r>
    <x v="433"/>
    <x v="19"/>
    <x v="128"/>
    <x v="7"/>
    <x v="2"/>
    <x v="2"/>
    <n v="5"/>
    <n v="10450"/>
    <x v="2"/>
    <n v="3300"/>
  </r>
  <r>
    <x v="434"/>
    <x v="178"/>
    <x v="83"/>
    <x v="1"/>
    <x v="1"/>
    <x v="1"/>
    <n v="1"/>
    <n v="13500"/>
    <x v="3"/>
    <n v="2700"/>
  </r>
  <r>
    <x v="435"/>
    <x v="173"/>
    <x v="66"/>
    <x v="4"/>
    <x v="2"/>
    <x v="1"/>
    <n v="5"/>
    <n v="6000"/>
    <x v="1"/>
    <n v="2100"/>
  </r>
  <r>
    <x v="436"/>
    <x v="43"/>
    <x v="7"/>
    <x v="7"/>
    <x v="2"/>
    <x v="1"/>
    <n v="1"/>
    <n v="1760"/>
    <x v="5"/>
    <n v="330"/>
  </r>
  <r>
    <x v="437"/>
    <x v="250"/>
    <x v="48"/>
    <x v="6"/>
    <x v="3"/>
    <x v="0"/>
    <n v="4"/>
    <n v="102000"/>
    <x v="4"/>
    <n v="3600"/>
  </r>
  <r>
    <x v="438"/>
    <x v="137"/>
    <x v="78"/>
    <x v="8"/>
    <x v="3"/>
    <x v="0"/>
    <n v="2"/>
    <n v="110000"/>
    <x v="1"/>
    <n v="19800"/>
  </r>
  <r>
    <x v="439"/>
    <x v="251"/>
    <x v="36"/>
    <x v="7"/>
    <x v="2"/>
    <x v="0"/>
    <n v="5"/>
    <n v="11000"/>
    <x v="1"/>
    <n v="3850"/>
  </r>
  <r>
    <x v="440"/>
    <x v="52"/>
    <x v="48"/>
    <x v="6"/>
    <x v="3"/>
    <x v="1"/>
    <n v="2"/>
    <n v="54000"/>
    <x v="3"/>
    <n v="4800"/>
  </r>
  <r>
    <x v="441"/>
    <x v="252"/>
    <x v="121"/>
    <x v="9"/>
    <x v="2"/>
    <x v="0"/>
    <n v="4"/>
    <n v="6840"/>
    <x v="2"/>
    <n v="2160"/>
  </r>
  <r>
    <x v="442"/>
    <x v="216"/>
    <x v="140"/>
    <x v="0"/>
    <x v="0"/>
    <x v="1"/>
    <n v="5"/>
    <n v="900"/>
    <x v="1"/>
    <n v="405"/>
  </r>
  <r>
    <x v="443"/>
    <x v="218"/>
    <x v="51"/>
    <x v="3"/>
    <x v="0"/>
    <x v="2"/>
    <n v="5"/>
    <n v="1062.5"/>
    <x v="4"/>
    <n v="375"/>
  </r>
  <r>
    <x v="444"/>
    <x v="253"/>
    <x v="4"/>
    <x v="4"/>
    <x v="2"/>
    <x v="1"/>
    <n v="2"/>
    <n v="2040"/>
    <x v="4"/>
    <n v="480"/>
  </r>
  <r>
    <x v="445"/>
    <x v="192"/>
    <x v="99"/>
    <x v="8"/>
    <x v="3"/>
    <x v="0"/>
    <n v="2"/>
    <n v="99000"/>
    <x v="3"/>
    <n v="8800"/>
  </r>
  <r>
    <x v="446"/>
    <x v="254"/>
    <x v="77"/>
    <x v="6"/>
    <x v="3"/>
    <x v="1"/>
    <n v="3"/>
    <n v="76500"/>
    <x v="4"/>
    <n v="2700"/>
  </r>
  <r>
    <x v="447"/>
    <x v="255"/>
    <x v="83"/>
    <x v="7"/>
    <x v="2"/>
    <x v="1"/>
    <n v="4"/>
    <n v="7480"/>
    <x v="4"/>
    <n v="1760"/>
  </r>
  <r>
    <x v="448"/>
    <x v="256"/>
    <x v="45"/>
    <x v="0"/>
    <x v="0"/>
    <x v="2"/>
    <n v="1"/>
    <n v="171"/>
    <x v="2"/>
    <n v="72"/>
  </r>
  <r>
    <x v="449"/>
    <x v="155"/>
    <x v="6"/>
    <x v="7"/>
    <x v="2"/>
    <x v="3"/>
    <n v="4"/>
    <n v="7480"/>
    <x v="4"/>
    <n v="1760"/>
  </r>
  <r>
    <x v="450"/>
    <x v="68"/>
    <x v="124"/>
    <x v="5"/>
    <x v="3"/>
    <x v="1"/>
    <n v="5"/>
    <n v="18000"/>
    <x v="5"/>
    <n v="-450"/>
  </r>
  <r>
    <x v="451"/>
    <x v="86"/>
    <x v="55"/>
    <x v="3"/>
    <x v="0"/>
    <x v="1"/>
    <n v="1"/>
    <n v="225"/>
    <x v="3"/>
    <n v="87.5"/>
  </r>
  <r>
    <x v="452"/>
    <x v="227"/>
    <x v="64"/>
    <x v="1"/>
    <x v="1"/>
    <x v="1"/>
    <n v="4"/>
    <n v="51000"/>
    <x v="4"/>
    <n v="7800"/>
  </r>
  <r>
    <x v="453"/>
    <x v="174"/>
    <x v="81"/>
    <x v="0"/>
    <x v="0"/>
    <x v="1"/>
    <n v="5"/>
    <n v="765"/>
    <x v="4"/>
    <n v="270"/>
  </r>
  <r>
    <x v="454"/>
    <x v="257"/>
    <x v="105"/>
    <x v="3"/>
    <x v="0"/>
    <x v="3"/>
    <n v="2"/>
    <n v="450"/>
    <x v="3"/>
    <n v="175"/>
  </r>
  <r>
    <x v="455"/>
    <x v="258"/>
    <x v="88"/>
    <x v="1"/>
    <x v="1"/>
    <x v="1"/>
    <n v="1"/>
    <n v="15000"/>
    <x v="1"/>
    <n v="4200"/>
  </r>
  <r>
    <x v="456"/>
    <x v="259"/>
    <x v="65"/>
    <x v="6"/>
    <x v="3"/>
    <x v="1"/>
    <n v="2"/>
    <n v="60000"/>
    <x v="1"/>
    <n v="10800"/>
  </r>
  <r>
    <x v="457"/>
    <x v="54"/>
    <x v="93"/>
    <x v="3"/>
    <x v="0"/>
    <x v="3"/>
    <n v="2"/>
    <n v="500"/>
    <x v="1"/>
    <n v="225"/>
  </r>
  <r>
    <x v="458"/>
    <x v="124"/>
    <x v="4"/>
    <x v="6"/>
    <x v="3"/>
    <x v="1"/>
    <n v="4"/>
    <n v="108000"/>
    <x v="3"/>
    <n v="9600"/>
  </r>
  <r>
    <x v="459"/>
    <x v="10"/>
    <x v="56"/>
    <x v="7"/>
    <x v="2"/>
    <x v="0"/>
    <n v="5"/>
    <n v="11000"/>
    <x v="1"/>
    <n v="3850"/>
  </r>
  <r>
    <x v="460"/>
    <x v="208"/>
    <x v="105"/>
    <x v="5"/>
    <x v="3"/>
    <x v="2"/>
    <n v="2"/>
    <n v="7650"/>
    <x v="4"/>
    <n v="270"/>
  </r>
  <r>
    <x v="461"/>
    <x v="55"/>
    <x v="3"/>
    <x v="8"/>
    <x v="3"/>
    <x v="3"/>
    <n v="5"/>
    <n v="233750"/>
    <x v="4"/>
    <n v="8250"/>
  </r>
  <r>
    <x v="462"/>
    <x v="60"/>
    <x v="20"/>
    <x v="5"/>
    <x v="3"/>
    <x v="3"/>
    <n v="1"/>
    <n v="4500"/>
    <x v="1"/>
    <n v="810"/>
  </r>
  <r>
    <x v="463"/>
    <x v="152"/>
    <x v="30"/>
    <x v="9"/>
    <x v="2"/>
    <x v="1"/>
    <n v="4"/>
    <n v="6120"/>
    <x v="4"/>
    <n v="1440"/>
  </r>
  <r>
    <x v="464"/>
    <x v="97"/>
    <x v="84"/>
    <x v="8"/>
    <x v="3"/>
    <x v="3"/>
    <n v="3"/>
    <n v="140250"/>
    <x v="4"/>
    <n v="4950"/>
  </r>
  <r>
    <x v="465"/>
    <x v="239"/>
    <x v="38"/>
    <x v="1"/>
    <x v="1"/>
    <x v="1"/>
    <n v="3"/>
    <n v="38250"/>
    <x v="4"/>
    <n v="5850"/>
  </r>
  <r>
    <x v="466"/>
    <x v="260"/>
    <x v="39"/>
    <x v="8"/>
    <x v="3"/>
    <x v="0"/>
    <n v="1"/>
    <n v="46750"/>
    <x v="4"/>
    <n v="1650"/>
  </r>
  <r>
    <x v="467"/>
    <x v="261"/>
    <x v="78"/>
    <x v="3"/>
    <x v="0"/>
    <x v="1"/>
    <n v="3"/>
    <n v="750"/>
    <x v="1"/>
    <n v="337.5"/>
  </r>
  <r>
    <x v="468"/>
    <x v="156"/>
    <x v="16"/>
    <x v="3"/>
    <x v="0"/>
    <x v="3"/>
    <n v="4"/>
    <n v="950"/>
    <x v="2"/>
    <n v="400"/>
  </r>
  <r>
    <x v="469"/>
    <x v="181"/>
    <x v="73"/>
    <x v="2"/>
    <x v="1"/>
    <x v="2"/>
    <n v="1"/>
    <n v="12000"/>
    <x v="1"/>
    <n v="3360"/>
  </r>
  <r>
    <x v="470"/>
    <x v="57"/>
    <x v="75"/>
    <x v="3"/>
    <x v="0"/>
    <x v="1"/>
    <n v="1"/>
    <n v="237.5"/>
    <x v="2"/>
    <n v="100"/>
  </r>
  <r>
    <x v="471"/>
    <x v="220"/>
    <x v="64"/>
    <x v="0"/>
    <x v="0"/>
    <x v="3"/>
    <n v="1"/>
    <n v="171"/>
    <x v="2"/>
    <n v="72"/>
  </r>
  <r>
    <x v="472"/>
    <x v="221"/>
    <x v="65"/>
    <x v="2"/>
    <x v="1"/>
    <x v="1"/>
    <n v="5"/>
    <n v="54000"/>
    <x v="3"/>
    <n v="10800"/>
  </r>
  <r>
    <x v="473"/>
    <x v="262"/>
    <x v="104"/>
    <x v="8"/>
    <x v="3"/>
    <x v="3"/>
    <n v="4"/>
    <n v="209000"/>
    <x v="2"/>
    <n v="28600"/>
  </r>
  <r>
    <x v="474"/>
    <x v="198"/>
    <x v="26"/>
    <x v="4"/>
    <x v="2"/>
    <x v="1"/>
    <n v="3"/>
    <n v="3060"/>
    <x v="4"/>
    <n v="720"/>
  </r>
  <r>
    <x v="475"/>
    <x v="263"/>
    <x v="48"/>
    <x v="9"/>
    <x v="2"/>
    <x v="0"/>
    <n v="2"/>
    <n v="3060"/>
    <x v="4"/>
    <n v="720"/>
  </r>
  <r>
    <x v="476"/>
    <x v="264"/>
    <x v="133"/>
    <x v="9"/>
    <x v="2"/>
    <x v="3"/>
    <n v="5"/>
    <n v="7200"/>
    <x v="5"/>
    <n v="1350"/>
  </r>
  <r>
    <x v="477"/>
    <x v="265"/>
    <x v="15"/>
    <x v="6"/>
    <x v="3"/>
    <x v="1"/>
    <n v="5"/>
    <n v="135000"/>
    <x v="3"/>
    <n v="12000"/>
  </r>
  <r>
    <x v="478"/>
    <x v="152"/>
    <x v="112"/>
    <x v="1"/>
    <x v="1"/>
    <x v="1"/>
    <n v="3"/>
    <n v="40500"/>
    <x v="3"/>
    <n v="8100"/>
  </r>
  <r>
    <x v="479"/>
    <x v="14"/>
    <x v="109"/>
    <x v="5"/>
    <x v="3"/>
    <x v="0"/>
    <n v="1"/>
    <n v="4500"/>
    <x v="1"/>
    <n v="810"/>
  </r>
  <r>
    <x v="480"/>
    <x v="47"/>
    <x v="50"/>
    <x v="0"/>
    <x v="0"/>
    <x v="3"/>
    <n v="4"/>
    <n v="576"/>
    <x v="5"/>
    <n v="180"/>
  </r>
  <r>
    <x v="481"/>
    <x v="209"/>
    <x v="49"/>
    <x v="4"/>
    <x v="2"/>
    <x v="1"/>
    <n v="3"/>
    <n v="2880"/>
    <x v="5"/>
    <n v="540"/>
  </r>
  <r>
    <x v="482"/>
    <x v="128"/>
    <x v="5"/>
    <x v="1"/>
    <x v="1"/>
    <x v="3"/>
    <n v="3"/>
    <n v="40500"/>
    <x v="3"/>
    <n v="8100"/>
  </r>
  <r>
    <x v="483"/>
    <x v="73"/>
    <x v="137"/>
    <x v="0"/>
    <x v="0"/>
    <x v="2"/>
    <n v="4"/>
    <n v="720"/>
    <x v="1"/>
    <n v="324"/>
  </r>
  <r>
    <x v="484"/>
    <x v="222"/>
    <x v="17"/>
    <x v="6"/>
    <x v="3"/>
    <x v="1"/>
    <n v="2"/>
    <n v="54000"/>
    <x v="3"/>
    <n v="4800"/>
  </r>
  <r>
    <x v="485"/>
    <x v="106"/>
    <x v="133"/>
    <x v="0"/>
    <x v="0"/>
    <x v="2"/>
    <n v="1"/>
    <n v="180"/>
    <x v="1"/>
    <n v="81"/>
  </r>
  <r>
    <x v="486"/>
    <x v="238"/>
    <x v="130"/>
    <x v="7"/>
    <x v="2"/>
    <x v="0"/>
    <n v="3"/>
    <n v="6600"/>
    <x v="1"/>
    <n v="2310"/>
  </r>
  <r>
    <x v="487"/>
    <x v="266"/>
    <x v="58"/>
    <x v="8"/>
    <x v="3"/>
    <x v="1"/>
    <n v="3"/>
    <n v="156750"/>
    <x v="2"/>
    <n v="21450"/>
  </r>
  <r>
    <x v="488"/>
    <x v="233"/>
    <x v="43"/>
    <x v="8"/>
    <x v="3"/>
    <x v="0"/>
    <n v="5"/>
    <n v="247500"/>
    <x v="3"/>
    <n v="22000"/>
  </r>
  <r>
    <x v="489"/>
    <x v="126"/>
    <x v="18"/>
    <x v="9"/>
    <x v="2"/>
    <x v="3"/>
    <n v="3"/>
    <n v="4320"/>
    <x v="5"/>
    <n v="810"/>
  </r>
  <r>
    <x v="490"/>
    <x v="168"/>
    <x v="8"/>
    <x v="1"/>
    <x v="1"/>
    <x v="3"/>
    <n v="5"/>
    <n v="67500"/>
    <x v="3"/>
    <n v="13500"/>
  </r>
  <r>
    <x v="491"/>
    <x v="46"/>
    <x v="107"/>
    <x v="3"/>
    <x v="0"/>
    <x v="0"/>
    <n v="1"/>
    <n v="237.5"/>
    <x v="2"/>
    <n v="100"/>
  </r>
  <r>
    <x v="492"/>
    <x v="71"/>
    <x v="14"/>
    <x v="8"/>
    <x v="3"/>
    <x v="3"/>
    <n v="5"/>
    <n v="261250"/>
    <x v="2"/>
    <n v="35750"/>
  </r>
  <r>
    <x v="493"/>
    <x v="180"/>
    <x v="69"/>
    <x v="5"/>
    <x v="3"/>
    <x v="0"/>
    <n v="3"/>
    <n v="13500"/>
    <x v="1"/>
    <n v="2430"/>
  </r>
  <r>
    <x v="494"/>
    <x v="267"/>
    <x v="76"/>
    <x v="9"/>
    <x v="2"/>
    <x v="1"/>
    <n v="4"/>
    <n v="6120"/>
    <x v="4"/>
    <n v="1440"/>
  </r>
  <r>
    <x v="495"/>
    <x v="159"/>
    <x v="109"/>
    <x v="8"/>
    <x v="3"/>
    <x v="0"/>
    <n v="5"/>
    <n v="233750"/>
    <x v="4"/>
    <n v="8250"/>
  </r>
  <r>
    <x v="496"/>
    <x v="139"/>
    <x v="58"/>
    <x v="0"/>
    <x v="0"/>
    <x v="2"/>
    <n v="5"/>
    <n v="765"/>
    <x v="4"/>
    <n v="270"/>
  </r>
  <r>
    <x v="497"/>
    <x v="121"/>
    <x v="72"/>
    <x v="6"/>
    <x v="3"/>
    <x v="1"/>
    <n v="2"/>
    <n v="51000"/>
    <x v="4"/>
    <n v="1800"/>
  </r>
  <r>
    <x v="498"/>
    <x v="186"/>
    <x v="25"/>
    <x v="6"/>
    <x v="3"/>
    <x v="0"/>
    <n v="5"/>
    <n v="150000"/>
    <x v="1"/>
    <n v="27000"/>
  </r>
  <r>
    <x v="499"/>
    <x v="2"/>
    <x v="102"/>
    <x v="7"/>
    <x v="2"/>
    <x v="0"/>
    <n v="3"/>
    <n v="6270"/>
    <x v="2"/>
    <n v="1980"/>
  </r>
  <r>
    <x v="500"/>
    <x v="268"/>
    <x v="38"/>
    <x v="7"/>
    <x v="2"/>
    <x v="2"/>
    <n v="2"/>
    <n v="3520"/>
    <x v="5"/>
    <n v="660"/>
  </r>
  <r>
    <x v="501"/>
    <x v="24"/>
    <x v="29"/>
    <x v="5"/>
    <x v="3"/>
    <x v="1"/>
    <n v="1"/>
    <n v="4050"/>
    <x v="3"/>
    <n v="360"/>
  </r>
  <r>
    <x v="502"/>
    <x v="209"/>
    <x v="4"/>
    <x v="3"/>
    <x v="0"/>
    <x v="1"/>
    <n v="3"/>
    <n v="637.5"/>
    <x v="4"/>
    <n v="225"/>
  </r>
  <r>
    <x v="503"/>
    <x v="155"/>
    <x v="141"/>
    <x v="9"/>
    <x v="2"/>
    <x v="3"/>
    <n v="2"/>
    <n v="3600"/>
    <x v="1"/>
    <n v="1260"/>
  </r>
  <r>
    <x v="504"/>
    <x v="233"/>
    <x v="72"/>
    <x v="7"/>
    <x v="2"/>
    <x v="3"/>
    <n v="5"/>
    <n v="11000"/>
    <x v="1"/>
    <n v="3850"/>
  </r>
  <r>
    <x v="505"/>
    <x v="3"/>
    <x v="124"/>
    <x v="4"/>
    <x v="2"/>
    <x v="2"/>
    <n v="1"/>
    <n v="1200"/>
    <x v="1"/>
    <n v="420"/>
  </r>
  <r>
    <x v="506"/>
    <x v="161"/>
    <x v="53"/>
    <x v="2"/>
    <x v="1"/>
    <x v="2"/>
    <n v="3"/>
    <n v="36000"/>
    <x v="1"/>
    <n v="10080"/>
  </r>
  <r>
    <x v="507"/>
    <x v="45"/>
    <x v="127"/>
    <x v="6"/>
    <x v="3"/>
    <x v="0"/>
    <n v="3"/>
    <n v="81000"/>
    <x v="3"/>
    <n v="7200"/>
  </r>
  <r>
    <x v="508"/>
    <x v="269"/>
    <x v="100"/>
    <x v="0"/>
    <x v="0"/>
    <x v="1"/>
    <n v="3"/>
    <n v="486"/>
    <x v="3"/>
    <n v="189"/>
  </r>
  <r>
    <x v="509"/>
    <x v="112"/>
    <x v="139"/>
    <x v="8"/>
    <x v="3"/>
    <x v="0"/>
    <n v="2"/>
    <n v="110000"/>
    <x v="1"/>
    <n v="19800"/>
  </r>
  <r>
    <x v="510"/>
    <x v="92"/>
    <x v="142"/>
    <x v="8"/>
    <x v="3"/>
    <x v="1"/>
    <n v="4"/>
    <n v="209000"/>
    <x v="2"/>
    <n v="28600"/>
  </r>
  <r>
    <x v="511"/>
    <x v="270"/>
    <x v="13"/>
    <x v="5"/>
    <x v="3"/>
    <x v="0"/>
    <n v="3"/>
    <n v="12825"/>
    <x v="2"/>
    <n v="1755"/>
  </r>
  <r>
    <x v="512"/>
    <x v="271"/>
    <x v="35"/>
    <x v="8"/>
    <x v="3"/>
    <x v="1"/>
    <n v="5"/>
    <n v="247500"/>
    <x v="3"/>
    <n v="22000"/>
  </r>
  <r>
    <x v="513"/>
    <x v="272"/>
    <x v="76"/>
    <x v="3"/>
    <x v="0"/>
    <x v="2"/>
    <n v="1"/>
    <n v="250"/>
    <x v="1"/>
    <n v="112.5"/>
  </r>
  <r>
    <x v="514"/>
    <x v="273"/>
    <x v="81"/>
    <x v="1"/>
    <x v="1"/>
    <x v="2"/>
    <n v="3"/>
    <n v="40500"/>
    <x v="3"/>
    <n v="8100"/>
  </r>
  <r>
    <x v="515"/>
    <x v="240"/>
    <x v="24"/>
    <x v="3"/>
    <x v="0"/>
    <x v="2"/>
    <n v="3"/>
    <n v="712.5"/>
    <x v="2"/>
    <n v="300"/>
  </r>
  <r>
    <x v="516"/>
    <x v="203"/>
    <x v="143"/>
    <x v="3"/>
    <x v="0"/>
    <x v="2"/>
    <n v="3"/>
    <n v="750"/>
    <x v="1"/>
    <n v="337.5"/>
  </r>
  <r>
    <x v="517"/>
    <x v="4"/>
    <x v="144"/>
    <x v="1"/>
    <x v="1"/>
    <x v="0"/>
    <n v="2"/>
    <n v="30000"/>
    <x v="1"/>
    <n v="8400"/>
  </r>
  <r>
    <x v="518"/>
    <x v="152"/>
    <x v="25"/>
    <x v="5"/>
    <x v="3"/>
    <x v="0"/>
    <n v="4"/>
    <n v="13500"/>
    <x v="0"/>
    <n v="-1260"/>
  </r>
  <r>
    <x v="519"/>
    <x v="274"/>
    <x v="26"/>
    <x v="2"/>
    <x v="1"/>
    <x v="0"/>
    <n v="1"/>
    <n v="11400"/>
    <x v="2"/>
    <n v="2760"/>
  </r>
  <r>
    <x v="520"/>
    <x v="142"/>
    <x v="76"/>
    <x v="1"/>
    <x v="1"/>
    <x v="2"/>
    <n v="1"/>
    <n v="13500"/>
    <x v="3"/>
    <n v="2700"/>
  </r>
  <r>
    <x v="521"/>
    <x v="125"/>
    <x v="78"/>
    <x v="1"/>
    <x v="1"/>
    <x v="1"/>
    <n v="3"/>
    <n v="36000"/>
    <x v="5"/>
    <n v="3600"/>
  </r>
  <r>
    <x v="522"/>
    <x v="211"/>
    <x v="9"/>
    <x v="5"/>
    <x v="3"/>
    <x v="3"/>
    <n v="2"/>
    <n v="9000"/>
    <x v="1"/>
    <n v="1620"/>
  </r>
  <r>
    <x v="523"/>
    <x v="107"/>
    <x v="27"/>
    <x v="0"/>
    <x v="0"/>
    <x v="0"/>
    <n v="4"/>
    <n v="684"/>
    <x v="2"/>
    <n v="288"/>
  </r>
  <r>
    <x v="524"/>
    <x v="275"/>
    <x v="118"/>
    <x v="5"/>
    <x v="3"/>
    <x v="3"/>
    <n v="5"/>
    <n v="20250"/>
    <x v="3"/>
    <n v="1800"/>
  </r>
  <r>
    <x v="525"/>
    <x v="57"/>
    <x v="83"/>
    <x v="6"/>
    <x v="3"/>
    <x v="1"/>
    <n v="1"/>
    <n v="25500"/>
    <x v="4"/>
    <n v="900"/>
  </r>
  <r>
    <x v="526"/>
    <x v="35"/>
    <x v="92"/>
    <x v="1"/>
    <x v="1"/>
    <x v="3"/>
    <n v="1"/>
    <n v="12750"/>
    <x v="4"/>
    <n v="1950"/>
  </r>
  <r>
    <x v="527"/>
    <x v="81"/>
    <x v="50"/>
    <x v="1"/>
    <x v="1"/>
    <x v="1"/>
    <n v="2"/>
    <n v="25500"/>
    <x v="4"/>
    <n v="3900"/>
  </r>
  <r>
    <x v="528"/>
    <x v="205"/>
    <x v="95"/>
    <x v="3"/>
    <x v="0"/>
    <x v="0"/>
    <n v="5"/>
    <n v="1062.5"/>
    <x v="4"/>
    <n v="375"/>
  </r>
  <r>
    <x v="529"/>
    <x v="35"/>
    <x v="15"/>
    <x v="7"/>
    <x v="2"/>
    <x v="1"/>
    <n v="4"/>
    <n v="6600"/>
    <x v="0"/>
    <n v="880"/>
  </r>
  <r>
    <x v="530"/>
    <x v="276"/>
    <x v="115"/>
    <x v="2"/>
    <x v="1"/>
    <x v="3"/>
    <n v="2"/>
    <n v="21600"/>
    <x v="3"/>
    <n v="4320"/>
  </r>
  <r>
    <x v="531"/>
    <x v="65"/>
    <x v="10"/>
    <x v="4"/>
    <x v="2"/>
    <x v="1"/>
    <n v="3"/>
    <n v="3240"/>
    <x v="3"/>
    <n v="900"/>
  </r>
  <r>
    <x v="532"/>
    <x v="200"/>
    <x v="15"/>
    <x v="5"/>
    <x v="3"/>
    <x v="3"/>
    <n v="4"/>
    <n v="15300"/>
    <x v="4"/>
    <n v="540"/>
  </r>
  <r>
    <x v="533"/>
    <x v="160"/>
    <x v="25"/>
    <x v="4"/>
    <x v="2"/>
    <x v="0"/>
    <n v="4"/>
    <n v="4800"/>
    <x v="1"/>
    <n v="1680"/>
  </r>
  <r>
    <x v="534"/>
    <x v="223"/>
    <x v="54"/>
    <x v="9"/>
    <x v="2"/>
    <x v="0"/>
    <n v="3"/>
    <n v="5130"/>
    <x v="2"/>
    <n v="1620"/>
  </r>
  <r>
    <x v="535"/>
    <x v="34"/>
    <x v="137"/>
    <x v="0"/>
    <x v="0"/>
    <x v="2"/>
    <n v="2"/>
    <n v="324"/>
    <x v="3"/>
    <n v="126"/>
  </r>
  <r>
    <x v="536"/>
    <x v="3"/>
    <x v="16"/>
    <x v="7"/>
    <x v="2"/>
    <x v="1"/>
    <n v="2"/>
    <n v="3960"/>
    <x v="3"/>
    <n v="1100"/>
  </r>
  <r>
    <x v="537"/>
    <x v="44"/>
    <x v="46"/>
    <x v="4"/>
    <x v="2"/>
    <x v="0"/>
    <n v="3"/>
    <n v="2700"/>
    <x v="0"/>
    <n v="360"/>
  </r>
  <r>
    <x v="538"/>
    <x v="113"/>
    <x v="34"/>
    <x v="9"/>
    <x v="2"/>
    <x v="0"/>
    <n v="3"/>
    <n v="4590"/>
    <x v="4"/>
    <n v="1080"/>
  </r>
  <r>
    <x v="539"/>
    <x v="13"/>
    <x v="105"/>
    <x v="1"/>
    <x v="1"/>
    <x v="0"/>
    <n v="5"/>
    <n v="63750"/>
    <x v="4"/>
    <n v="9750"/>
  </r>
  <r>
    <x v="540"/>
    <x v="277"/>
    <x v="45"/>
    <x v="8"/>
    <x v="3"/>
    <x v="3"/>
    <n v="4"/>
    <n v="187000"/>
    <x v="4"/>
    <n v="6600"/>
  </r>
  <r>
    <x v="541"/>
    <x v="225"/>
    <x v="136"/>
    <x v="4"/>
    <x v="2"/>
    <x v="3"/>
    <n v="2"/>
    <n v="2400"/>
    <x v="1"/>
    <n v="840"/>
  </r>
  <r>
    <x v="542"/>
    <x v="81"/>
    <x v="56"/>
    <x v="5"/>
    <x v="3"/>
    <x v="0"/>
    <n v="3"/>
    <n v="12150"/>
    <x v="3"/>
    <n v="1080"/>
  </r>
  <r>
    <x v="543"/>
    <x v="253"/>
    <x v="86"/>
    <x v="5"/>
    <x v="3"/>
    <x v="3"/>
    <n v="3"/>
    <n v="10800"/>
    <x v="5"/>
    <n v="-270"/>
  </r>
  <r>
    <x v="544"/>
    <x v="278"/>
    <x v="20"/>
    <x v="6"/>
    <x v="3"/>
    <x v="2"/>
    <n v="2"/>
    <n v="57000"/>
    <x v="2"/>
    <n v="7800"/>
  </r>
  <r>
    <x v="545"/>
    <x v="279"/>
    <x v="31"/>
    <x v="7"/>
    <x v="2"/>
    <x v="3"/>
    <n v="5"/>
    <n v="9350"/>
    <x v="4"/>
    <n v="2200"/>
  </r>
  <r>
    <x v="546"/>
    <x v="199"/>
    <x v="104"/>
    <x v="9"/>
    <x v="2"/>
    <x v="3"/>
    <n v="3"/>
    <n v="5400"/>
    <x v="1"/>
    <n v="1890"/>
  </r>
  <r>
    <x v="547"/>
    <x v="174"/>
    <x v="126"/>
    <x v="8"/>
    <x v="3"/>
    <x v="3"/>
    <n v="1"/>
    <n v="49500"/>
    <x v="3"/>
    <n v="4400"/>
  </r>
  <r>
    <x v="548"/>
    <x v="230"/>
    <x v="94"/>
    <x v="1"/>
    <x v="1"/>
    <x v="0"/>
    <n v="3"/>
    <n v="40500"/>
    <x v="3"/>
    <n v="8100"/>
  </r>
  <r>
    <x v="549"/>
    <x v="9"/>
    <x v="85"/>
    <x v="0"/>
    <x v="0"/>
    <x v="1"/>
    <n v="2"/>
    <n v="324"/>
    <x v="3"/>
    <n v="126"/>
  </r>
  <r>
    <x v="550"/>
    <x v="7"/>
    <x v="127"/>
    <x v="6"/>
    <x v="3"/>
    <x v="2"/>
    <n v="2"/>
    <n v="51000"/>
    <x v="4"/>
    <n v="1800"/>
  </r>
  <r>
    <x v="551"/>
    <x v="44"/>
    <x v="133"/>
    <x v="2"/>
    <x v="1"/>
    <x v="3"/>
    <n v="5"/>
    <n v="48000"/>
    <x v="5"/>
    <n v="4800"/>
  </r>
  <r>
    <x v="552"/>
    <x v="193"/>
    <x v="60"/>
    <x v="6"/>
    <x v="3"/>
    <x v="0"/>
    <n v="2"/>
    <n v="51000"/>
    <x v="4"/>
    <n v="1800"/>
  </r>
  <r>
    <x v="553"/>
    <x v="34"/>
    <x v="44"/>
    <x v="8"/>
    <x v="3"/>
    <x v="1"/>
    <n v="1"/>
    <n v="55000"/>
    <x v="1"/>
    <n v="9900"/>
  </r>
  <r>
    <x v="554"/>
    <x v="280"/>
    <x v="109"/>
    <x v="3"/>
    <x v="0"/>
    <x v="0"/>
    <n v="1"/>
    <n v="250"/>
    <x v="1"/>
    <n v="112.5"/>
  </r>
  <r>
    <x v="555"/>
    <x v="5"/>
    <x v="13"/>
    <x v="3"/>
    <x v="0"/>
    <x v="0"/>
    <n v="5"/>
    <n v="937.5"/>
    <x v="0"/>
    <n v="250"/>
  </r>
  <r>
    <x v="556"/>
    <x v="142"/>
    <x v="123"/>
    <x v="8"/>
    <x v="3"/>
    <x v="2"/>
    <n v="3"/>
    <n v="156750"/>
    <x v="2"/>
    <n v="21450"/>
  </r>
  <r>
    <x v="557"/>
    <x v="137"/>
    <x v="36"/>
    <x v="5"/>
    <x v="3"/>
    <x v="1"/>
    <n v="5"/>
    <n v="20250"/>
    <x v="3"/>
    <n v="1800"/>
  </r>
  <r>
    <x v="558"/>
    <x v="10"/>
    <x v="33"/>
    <x v="5"/>
    <x v="3"/>
    <x v="3"/>
    <n v="5"/>
    <n v="22500"/>
    <x v="1"/>
    <n v="4050"/>
  </r>
  <r>
    <x v="559"/>
    <x v="124"/>
    <x v="134"/>
    <x v="4"/>
    <x v="2"/>
    <x v="3"/>
    <n v="2"/>
    <n v="2400"/>
    <x v="1"/>
    <n v="840"/>
  </r>
  <r>
    <x v="560"/>
    <x v="281"/>
    <x v="118"/>
    <x v="1"/>
    <x v="1"/>
    <x v="1"/>
    <n v="1"/>
    <n v="14250"/>
    <x v="2"/>
    <n v="3450"/>
  </r>
  <r>
    <x v="561"/>
    <x v="140"/>
    <x v="145"/>
    <x v="4"/>
    <x v="2"/>
    <x v="0"/>
    <n v="1"/>
    <n v="1200"/>
    <x v="1"/>
    <n v="420"/>
  </r>
  <r>
    <x v="562"/>
    <x v="11"/>
    <x v="23"/>
    <x v="7"/>
    <x v="2"/>
    <x v="1"/>
    <n v="1"/>
    <n v="2090"/>
    <x v="2"/>
    <n v="660"/>
  </r>
  <r>
    <x v="563"/>
    <x v="90"/>
    <x v="146"/>
    <x v="4"/>
    <x v="2"/>
    <x v="1"/>
    <n v="3"/>
    <n v="3240"/>
    <x v="3"/>
    <n v="900"/>
  </r>
  <r>
    <x v="564"/>
    <x v="84"/>
    <x v="71"/>
    <x v="0"/>
    <x v="0"/>
    <x v="1"/>
    <n v="1"/>
    <n v="171"/>
    <x v="2"/>
    <n v="72"/>
  </r>
  <r>
    <x v="565"/>
    <x v="172"/>
    <x v="123"/>
    <x v="6"/>
    <x v="3"/>
    <x v="0"/>
    <n v="1"/>
    <n v="25500"/>
    <x v="4"/>
    <n v="900"/>
  </r>
  <r>
    <x v="566"/>
    <x v="282"/>
    <x v="109"/>
    <x v="0"/>
    <x v="0"/>
    <x v="3"/>
    <n v="5"/>
    <n v="900"/>
    <x v="1"/>
    <n v="405"/>
  </r>
  <r>
    <x v="567"/>
    <x v="53"/>
    <x v="134"/>
    <x v="2"/>
    <x v="1"/>
    <x v="1"/>
    <n v="2"/>
    <n v="20400"/>
    <x v="4"/>
    <n v="3120"/>
  </r>
  <r>
    <x v="568"/>
    <x v="229"/>
    <x v="63"/>
    <x v="9"/>
    <x v="2"/>
    <x v="0"/>
    <n v="1"/>
    <n v="1440"/>
    <x v="5"/>
    <n v="270"/>
  </r>
  <r>
    <x v="569"/>
    <x v="97"/>
    <x v="104"/>
    <x v="8"/>
    <x v="3"/>
    <x v="2"/>
    <n v="2"/>
    <n v="99000"/>
    <x v="3"/>
    <n v="8800"/>
  </r>
  <r>
    <x v="570"/>
    <x v="283"/>
    <x v="38"/>
    <x v="1"/>
    <x v="1"/>
    <x v="2"/>
    <n v="2"/>
    <n v="30000"/>
    <x v="1"/>
    <n v="8400"/>
  </r>
  <r>
    <x v="571"/>
    <x v="207"/>
    <x v="118"/>
    <x v="5"/>
    <x v="3"/>
    <x v="1"/>
    <n v="1"/>
    <n v="3825"/>
    <x v="4"/>
    <n v="135"/>
  </r>
  <r>
    <x v="572"/>
    <x v="284"/>
    <x v="53"/>
    <x v="3"/>
    <x v="0"/>
    <x v="1"/>
    <n v="4"/>
    <n v="1000"/>
    <x v="1"/>
    <n v="450"/>
  </r>
  <r>
    <x v="573"/>
    <x v="285"/>
    <x v="74"/>
    <x v="7"/>
    <x v="2"/>
    <x v="3"/>
    <n v="1"/>
    <n v="2090"/>
    <x v="2"/>
    <n v="660"/>
  </r>
  <r>
    <x v="574"/>
    <x v="77"/>
    <x v="96"/>
    <x v="8"/>
    <x v="3"/>
    <x v="3"/>
    <n v="4"/>
    <n v="165000"/>
    <x v="0"/>
    <n v="-15400"/>
  </r>
  <r>
    <x v="575"/>
    <x v="112"/>
    <x v="103"/>
    <x v="1"/>
    <x v="1"/>
    <x v="2"/>
    <n v="1"/>
    <n v="12750"/>
    <x v="4"/>
    <n v="1950"/>
  </r>
  <r>
    <x v="576"/>
    <x v="195"/>
    <x v="41"/>
    <x v="1"/>
    <x v="1"/>
    <x v="3"/>
    <n v="4"/>
    <n v="54000"/>
    <x v="3"/>
    <n v="10800"/>
  </r>
  <r>
    <x v="577"/>
    <x v="204"/>
    <x v="69"/>
    <x v="4"/>
    <x v="2"/>
    <x v="2"/>
    <n v="3"/>
    <n v="3060"/>
    <x v="4"/>
    <n v="720"/>
  </r>
  <r>
    <x v="578"/>
    <x v="128"/>
    <x v="78"/>
    <x v="2"/>
    <x v="1"/>
    <x v="2"/>
    <n v="3"/>
    <n v="30600"/>
    <x v="4"/>
    <n v="4680"/>
  </r>
  <r>
    <x v="579"/>
    <x v="67"/>
    <x v="45"/>
    <x v="0"/>
    <x v="0"/>
    <x v="0"/>
    <n v="4"/>
    <n v="720"/>
    <x v="1"/>
    <n v="324"/>
  </r>
  <r>
    <x v="580"/>
    <x v="1"/>
    <x v="115"/>
    <x v="0"/>
    <x v="0"/>
    <x v="1"/>
    <n v="5"/>
    <n v="810"/>
    <x v="3"/>
    <n v="315"/>
  </r>
  <r>
    <x v="581"/>
    <x v="67"/>
    <x v="8"/>
    <x v="3"/>
    <x v="0"/>
    <x v="0"/>
    <n v="1"/>
    <n v="237.5"/>
    <x v="2"/>
    <n v="100"/>
  </r>
  <r>
    <x v="582"/>
    <x v="109"/>
    <x v="80"/>
    <x v="7"/>
    <x v="2"/>
    <x v="3"/>
    <n v="1"/>
    <n v="1870"/>
    <x v="4"/>
    <n v="440"/>
  </r>
  <r>
    <x v="583"/>
    <x v="286"/>
    <x v="107"/>
    <x v="1"/>
    <x v="1"/>
    <x v="3"/>
    <n v="4"/>
    <n v="57000"/>
    <x v="2"/>
    <n v="13800"/>
  </r>
  <r>
    <x v="584"/>
    <x v="245"/>
    <x v="46"/>
    <x v="2"/>
    <x v="1"/>
    <x v="0"/>
    <n v="4"/>
    <n v="43200"/>
    <x v="3"/>
    <n v="8640"/>
  </r>
  <r>
    <x v="585"/>
    <x v="222"/>
    <x v="37"/>
    <x v="6"/>
    <x v="3"/>
    <x v="0"/>
    <n v="5"/>
    <n v="135000"/>
    <x v="3"/>
    <n v="12000"/>
  </r>
  <r>
    <x v="586"/>
    <x v="30"/>
    <x v="89"/>
    <x v="6"/>
    <x v="3"/>
    <x v="2"/>
    <n v="3"/>
    <n v="76500"/>
    <x v="4"/>
    <n v="2700"/>
  </r>
  <r>
    <x v="587"/>
    <x v="287"/>
    <x v="48"/>
    <x v="1"/>
    <x v="1"/>
    <x v="2"/>
    <n v="5"/>
    <n v="67500"/>
    <x v="3"/>
    <n v="13500"/>
  </r>
  <r>
    <x v="588"/>
    <x v="288"/>
    <x v="29"/>
    <x v="6"/>
    <x v="3"/>
    <x v="2"/>
    <n v="2"/>
    <n v="57000"/>
    <x v="2"/>
    <n v="7800"/>
  </r>
  <r>
    <x v="589"/>
    <x v="103"/>
    <x v="21"/>
    <x v="3"/>
    <x v="0"/>
    <x v="0"/>
    <n v="5"/>
    <n v="1125"/>
    <x v="3"/>
    <n v="437.5"/>
  </r>
  <r>
    <x v="590"/>
    <x v="281"/>
    <x v="87"/>
    <x v="8"/>
    <x v="3"/>
    <x v="1"/>
    <n v="3"/>
    <n v="140250"/>
    <x v="4"/>
    <n v="4950"/>
  </r>
  <r>
    <x v="591"/>
    <x v="289"/>
    <x v="15"/>
    <x v="3"/>
    <x v="0"/>
    <x v="1"/>
    <n v="1"/>
    <n v="237.5"/>
    <x v="2"/>
    <n v="100"/>
  </r>
  <r>
    <x v="592"/>
    <x v="175"/>
    <x v="12"/>
    <x v="7"/>
    <x v="2"/>
    <x v="2"/>
    <n v="1"/>
    <n v="2090"/>
    <x v="2"/>
    <n v="660"/>
  </r>
  <r>
    <x v="593"/>
    <x v="225"/>
    <x v="21"/>
    <x v="5"/>
    <x v="3"/>
    <x v="3"/>
    <n v="2"/>
    <n v="6750"/>
    <x v="0"/>
    <n v="-630"/>
  </r>
  <r>
    <x v="594"/>
    <x v="203"/>
    <x v="57"/>
    <x v="6"/>
    <x v="3"/>
    <x v="2"/>
    <n v="1"/>
    <n v="22500"/>
    <x v="0"/>
    <n v="-2100"/>
  </r>
  <r>
    <x v="595"/>
    <x v="183"/>
    <x v="91"/>
    <x v="6"/>
    <x v="3"/>
    <x v="0"/>
    <n v="5"/>
    <n v="120000"/>
    <x v="5"/>
    <n v="-3000"/>
  </r>
  <r>
    <x v="596"/>
    <x v="145"/>
    <x v="48"/>
    <x v="0"/>
    <x v="0"/>
    <x v="0"/>
    <n v="1"/>
    <n v="180"/>
    <x v="1"/>
    <n v="81"/>
  </r>
  <r>
    <x v="597"/>
    <x v="4"/>
    <x v="45"/>
    <x v="7"/>
    <x v="2"/>
    <x v="2"/>
    <n v="3"/>
    <n v="6600"/>
    <x v="1"/>
    <n v="2310"/>
  </r>
  <r>
    <x v="598"/>
    <x v="290"/>
    <x v="93"/>
    <x v="0"/>
    <x v="0"/>
    <x v="0"/>
    <n v="3"/>
    <n v="513"/>
    <x v="2"/>
    <n v="216"/>
  </r>
  <r>
    <x v="599"/>
    <x v="234"/>
    <x v="65"/>
    <x v="5"/>
    <x v="3"/>
    <x v="2"/>
    <n v="4"/>
    <n v="15300"/>
    <x v="4"/>
    <n v="540"/>
  </r>
  <r>
    <x v="600"/>
    <x v="291"/>
    <x v="12"/>
    <x v="9"/>
    <x v="2"/>
    <x v="0"/>
    <n v="3"/>
    <n v="4050"/>
    <x v="0"/>
    <n v="540"/>
  </r>
  <r>
    <x v="601"/>
    <x v="58"/>
    <x v="91"/>
    <x v="0"/>
    <x v="0"/>
    <x v="3"/>
    <n v="1"/>
    <n v="162"/>
    <x v="3"/>
    <n v="63"/>
  </r>
  <r>
    <x v="602"/>
    <x v="292"/>
    <x v="118"/>
    <x v="5"/>
    <x v="3"/>
    <x v="2"/>
    <n v="1"/>
    <n v="4050"/>
    <x v="3"/>
    <n v="360"/>
  </r>
  <r>
    <x v="603"/>
    <x v="261"/>
    <x v="10"/>
    <x v="2"/>
    <x v="1"/>
    <x v="1"/>
    <n v="5"/>
    <n v="54000"/>
    <x v="3"/>
    <n v="10800"/>
  </r>
  <r>
    <x v="604"/>
    <x v="135"/>
    <x v="76"/>
    <x v="8"/>
    <x v="3"/>
    <x v="1"/>
    <n v="2"/>
    <n v="88000"/>
    <x v="5"/>
    <n v="-2200"/>
  </r>
  <r>
    <x v="605"/>
    <x v="198"/>
    <x v="146"/>
    <x v="2"/>
    <x v="1"/>
    <x v="0"/>
    <n v="2"/>
    <n v="19200"/>
    <x v="5"/>
    <n v="1920"/>
  </r>
  <r>
    <x v="606"/>
    <x v="293"/>
    <x v="26"/>
    <x v="7"/>
    <x v="2"/>
    <x v="0"/>
    <n v="1"/>
    <n v="2200"/>
    <x v="1"/>
    <n v="770"/>
  </r>
  <r>
    <x v="607"/>
    <x v="73"/>
    <x v="46"/>
    <x v="9"/>
    <x v="2"/>
    <x v="3"/>
    <n v="3"/>
    <n v="4860"/>
    <x v="3"/>
    <n v="1350"/>
  </r>
  <r>
    <x v="608"/>
    <x v="97"/>
    <x v="147"/>
    <x v="5"/>
    <x v="3"/>
    <x v="2"/>
    <n v="5"/>
    <n v="21375"/>
    <x v="2"/>
    <n v="2925"/>
  </r>
  <r>
    <x v="609"/>
    <x v="294"/>
    <x v="99"/>
    <x v="9"/>
    <x v="2"/>
    <x v="2"/>
    <n v="5"/>
    <n v="8100"/>
    <x v="3"/>
    <n v="2250"/>
  </r>
  <r>
    <x v="610"/>
    <x v="75"/>
    <x v="68"/>
    <x v="2"/>
    <x v="1"/>
    <x v="0"/>
    <n v="2"/>
    <n v="22800"/>
    <x v="2"/>
    <n v="5520"/>
  </r>
  <r>
    <x v="611"/>
    <x v="129"/>
    <x v="53"/>
    <x v="5"/>
    <x v="3"/>
    <x v="3"/>
    <n v="4"/>
    <n v="16200"/>
    <x v="3"/>
    <n v="1440"/>
  </r>
  <r>
    <x v="612"/>
    <x v="64"/>
    <x v="40"/>
    <x v="5"/>
    <x v="3"/>
    <x v="1"/>
    <n v="5"/>
    <n v="20250"/>
    <x v="3"/>
    <n v="1800"/>
  </r>
  <r>
    <x v="613"/>
    <x v="295"/>
    <x v="81"/>
    <x v="2"/>
    <x v="1"/>
    <x v="3"/>
    <n v="2"/>
    <n v="20400"/>
    <x v="4"/>
    <n v="3120"/>
  </r>
  <r>
    <x v="614"/>
    <x v="228"/>
    <x v="35"/>
    <x v="6"/>
    <x v="3"/>
    <x v="3"/>
    <n v="1"/>
    <n v="27000"/>
    <x v="3"/>
    <n v="2400"/>
  </r>
  <r>
    <x v="615"/>
    <x v="269"/>
    <x v="37"/>
    <x v="1"/>
    <x v="1"/>
    <x v="2"/>
    <n v="5"/>
    <n v="63750"/>
    <x v="4"/>
    <n v="9750"/>
  </r>
  <r>
    <x v="616"/>
    <x v="166"/>
    <x v="83"/>
    <x v="1"/>
    <x v="1"/>
    <x v="0"/>
    <n v="1"/>
    <n v="11250"/>
    <x v="0"/>
    <n v="450"/>
  </r>
  <r>
    <x v="617"/>
    <x v="149"/>
    <x v="50"/>
    <x v="2"/>
    <x v="1"/>
    <x v="1"/>
    <n v="3"/>
    <n v="28800"/>
    <x v="5"/>
    <n v="2880"/>
  </r>
  <r>
    <x v="618"/>
    <x v="296"/>
    <x v="71"/>
    <x v="3"/>
    <x v="0"/>
    <x v="3"/>
    <n v="3"/>
    <n v="637.5"/>
    <x v="4"/>
    <n v="225"/>
  </r>
  <r>
    <x v="619"/>
    <x v="175"/>
    <x v="88"/>
    <x v="7"/>
    <x v="2"/>
    <x v="1"/>
    <n v="2"/>
    <n v="3520"/>
    <x v="5"/>
    <n v="660"/>
  </r>
  <r>
    <x v="620"/>
    <x v="164"/>
    <x v="100"/>
    <x v="5"/>
    <x v="3"/>
    <x v="1"/>
    <n v="1"/>
    <n v="4275"/>
    <x v="2"/>
    <n v="585"/>
  </r>
  <r>
    <x v="621"/>
    <x v="297"/>
    <x v="74"/>
    <x v="0"/>
    <x v="0"/>
    <x v="3"/>
    <n v="5"/>
    <n v="810"/>
    <x v="3"/>
    <n v="315"/>
  </r>
  <r>
    <x v="622"/>
    <x v="142"/>
    <x v="65"/>
    <x v="0"/>
    <x v="0"/>
    <x v="0"/>
    <n v="2"/>
    <n v="306"/>
    <x v="4"/>
    <n v="108"/>
  </r>
  <r>
    <x v="623"/>
    <x v="298"/>
    <x v="41"/>
    <x v="7"/>
    <x v="2"/>
    <x v="0"/>
    <n v="1"/>
    <n v="2090"/>
    <x v="2"/>
    <n v="660"/>
  </r>
  <r>
    <x v="624"/>
    <x v="286"/>
    <x v="24"/>
    <x v="1"/>
    <x v="1"/>
    <x v="1"/>
    <n v="5"/>
    <n v="75000"/>
    <x v="1"/>
    <n v="21000"/>
  </r>
  <r>
    <x v="625"/>
    <x v="141"/>
    <x v="45"/>
    <x v="8"/>
    <x v="3"/>
    <x v="3"/>
    <n v="1"/>
    <n v="49500"/>
    <x v="3"/>
    <n v="4400"/>
  </r>
  <r>
    <x v="626"/>
    <x v="299"/>
    <x v="148"/>
    <x v="0"/>
    <x v="0"/>
    <x v="0"/>
    <n v="3"/>
    <n v="459"/>
    <x v="4"/>
    <n v="162"/>
  </r>
  <r>
    <x v="627"/>
    <x v="161"/>
    <x v="71"/>
    <x v="8"/>
    <x v="3"/>
    <x v="2"/>
    <n v="2"/>
    <n v="93500"/>
    <x v="4"/>
    <n v="3300"/>
  </r>
  <r>
    <x v="628"/>
    <x v="210"/>
    <x v="7"/>
    <x v="3"/>
    <x v="0"/>
    <x v="3"/>
    <n v="4"/>
    <n v="750"/>
    <x v="0"/>
    <n v="200"/>
  </r>
  <r>
    <x v="629"/>
    <x v="232"/>
    <x v="141"/>
    <x v="8"/>
    <x v="3"/>
    <x v="0"/>
    <n v="4"/>
    <n v="187000"/>
    <x v="4"/>
    <n v="6600"/>
  </r>
  <r>
    <x v="630"/>
    <x v="236"/>
    <x v="62"/>
    <x v="5"/>
    <x v="3"/>
    <x v="1"/>
    <n v="2"/>
    <n v="9000"/>
    <x v="1"/>
    <n v="1620"/>
  </r>
  <r>
    <x v="631"/>
    <x v="300"/>
    <x v="35"/>
    <x v="2"/>
    <x v="1"/>
    <x v="3"/>
    <n v="2"/>
    <n v="24000"/>
    <x v="1"/>
    <n v="6720"/>
  </r>
  <r>
    <x v="632"/>
    <x v="142"/>
    <x v="5"/>
    <x v="9"/>
    <x v="2"/>
    <x v="1"/>
    <n v="2"/>
    <n v="3240"/>
    <x v="3"/>
    <n v="900"/>
  </r>
  <r>
    <x v="633"/>
    <x v="301"/>
    <x v="80"/>
    <x v="5"/>
    <x v="3"/>
    <x v="0"/>
    <n v="1"/>
    <n v="4050"/>
    <x v="3"/>
    <n v="360"/>
  </r>
  <r>
    <x v="634"/>
    <x v="302"/>
    <x v="92"/>
    <x v="8"/>
    <x v="3"/>
    <x v="2"/>
    <n v="5"/>
    <n v="233750"/>
    <x v="4"/>
    <n v="8250"/>
  </r>
  <r>
    <x v="635"/>
    <x v="300"/>
    <x v="12"/>
    <x v="5"/>
    <x v="3"/>
    <x v="1"/>
    <n v="3"/>
    <n v="12825"/>
    <x v="2"/>
    <n v="1755"/>
  </r>
  <r>
    <x v="636"/>
    <x v="251"/>
    <x v="39"/>
    <x v="2"/>
    <x v="1"/>
    <x v="0"/>
    <n v="4"/>
    <n v="45600"/>
    <x v="2"/>
    <n v="11040"/>
  </r>
  <r>
    <x v="637"/>
    <x v="303"/>
    <x v="0"/>
    <x v="1"/>
    <x v="1"/>
    <x v="1"/>
    <n v="3"/>
    <n v="36000"/>
    <x v="5"/>
    <n v="3600"/>
  </r>
  <r>
    <x v="638"/>
    <x v="7"/>
    <x v="60"/>
    <x v="8"/>
    <x v="3"/>
    <x v="0"/>
    <n v="1"/>
    <n v="55000"/>
    <x v="1"/>
    <n v="9900"/>
  </r>
  <r>
    <x v="639"/>
    <x v="197"/>
    <x v="54"/>
    <x v="8"/>
    <x v="3"/>
    <x v="2"/>
    <n v="1"/>
    <n v="49500"/>
    <x v="3"/>
    <n v="4400"/>
  </r>
  <r>
    <x v="640"/>
    <x v="304"/>
    <x v="36"/>
    <x v="9"/>
    <x v="2"/>
    <x v="0"/>
    <n v="3"/>
    <n v="5130"/>
    <x v="2"/>
    <n v="1620"/>
  </r>
  <r>
    <x v="641"/>
    <x v="164"/>
    <x v="149"/>
    <x v="5"/>
    <x v="3"/>
    <x v="0"/>
    <n v="5"/>
    <n v="22500"/>
    <x v="1"/>
    <n v="4050"/>
  </r>
  <r>
    <x v="642"/>
    <x v="305"/>
    <x v="30"/>
    <x v="2"/>
    <x v="1"/>
    <x v="0"/>
    <n v="3"/>
    <n v="30600"/>
    <x v="4"/>
    <n v="4680"/>
  </r>
  <r>
    <x v="643"/>
    <x v="222"/>
    <x v="103"/>
    <x v="9"/>
    <x v="2"/>
    <x v="1"/>
    <n v="2"/>
    <n v="2700"/>
    <x v="0"/>
    <n v="360"/>
  </r>
  <r>
    <x v="644"/>
    <x v="306"/>
    <x v="79"/>
    <x v="7"/>
    <x v="2"/>
    <x v="2"/>
    <n v="5"/>
    <n v="8250"/>
    <x v="0"/>
    <n v="1100"/>
  </r>
  <r>
    <x v="645"/>
    <x v="147"/>
    <x v="147"/>
    <x v="1"/>
    <x v="1"/>
    <x v="3"/>
    <n v="4"/>
    <n v="54000"/>
    <x v="3"/>
    <n v="10800"/>
  </r>
  <r>
    <x v="646"/>
    <x v="266"/>
    <x v="110"/>
    <x v="5"/>
    <x v="3"/>
    <x v="1"/>
    <n v="2"/>
    <n v="8100"/>
    <x v="3"/>
    <n v="720"/>
  </r>
  <r>
    <x v="647"/>
    <x v="135"/>
    <x v="31"/>
    <x v="9"/>
    <x v="2"/>
    <x v="3"/>
    <n v="2"/>
    <n v="3060"/>
    <x v="4"/>
    <n v="720"/>
  </r>
  <r>
    <x v="648"/>
    <x v="307"/>
    <x v="21"/>
    <x v="3"/>
    <x v="0"/>
    <x v="3"/>
    <n v="4"/>
    <n v="950"/>
    <x v="2"/>
    <n v="400"/>
  </r>
  <r>
    <x v="649"/>
    <x v="127"/>
    <x v="56"/>
    <x v="2"/>
    <x v="1"/>
    <x v="2"/>
    <n v="3"/>
    <n v="32400"/>
    <x v="3"/>
    <n v="6480"/>
  </r>
  <r>
    <x v="650"/>
    <x v="183"/>
    <x v="15"/>
    <x v="5"/>
    <x v="3"/>
    <x v="2"/>
    <n v="3"/>
    <n v="11475"/>
    <x v="4"/>
    <n v="405"/>
  </r>
  <r>
    <x v="651"/>
    <x v="2"/>
    <x v="141"/>
    <x v="4"/>
    <x v="2"/>
    <x v="3"/>
    <n v="3"/>
    <n v="3420"/>
    <x v="2"/>
    <n v="1080"/>
  </r>
  <r>
    <x v="652"/>
    <x v="308"/>
    <x v="117"/>
    <x v="7"/>
    <x v="2"/>
    <x v="2"/>
    <n v="1"/>
    <n v="2200"/>
    <x v="1"/>
    <n v="770"/>
  </r>
  <r>
    <x v="653"/>
    <x v="274"/>
    <x v="123"/>
    <x v="5"/>
    <x v="3"/>
    <x v="2"/>
    <n v="5"/>
    <n v="21375"/>
    <x v="2"/>
    <n v="2925"/>
  </r>
  <r>
    <x v="654"/>
    <x v="109"/>
    <x v="26"/>
    <x v="4"/>
    <x v="2"/>
    <x v="3"/>
    <n v="5"/>
    <n v="5400"/>
    <x v="3"/>
    <n v="1500"/>
  </r>
  <r>
    <x v="655"/>
    <x v="101"/>
    <x v="90"/>
    <x v="8"/>
    <x v="3"/>
    <x v="0"/>
    <n v="1"/>
    <n v="49500"/>
    <x v="3"/>
    <n v="4400"/>
  </r>
  <r>
    <x v="656"/>
    <x v="77"/>
    <x v="37"/>
    <x v="7"/>
    <x v="2"/>
    <x v="2"/>
    <n v="1"/>
    <n v="1980"/>
    <x v="3"/>
    <n v="550"/>
  </r>
  <r>
    <x v="657"/>
    <x v="193"/>
    <x v="41"/>
    <x v="5"/>
    <x v="3"/>
    <x v="3"/>
    <n v="4"/>
    <n v="15300"/>
    <x v="4"/>
    <n v="540"/>
  </r>
  <r>
    <x v="658"/>
    <x v="305"/>
    <x v="51"/>
    <x v="2"/>
    <x v="1"/>
    <x v="0"/>
    <n v="5"/>
    <n v="54000"/>
    <x v="3"/>
    <n v="10800"/>
  </r>
  <r>
    <x v="659"/>
    <x v="309"/>
    <x v="31"/>
    <x v="4"/>
    <x v="2"/>
    <x v="0"/>
    <n v="1"/>
    <n v="1140"/>
    <x v="2"/>
    <n v="360"/>
  </r>
  <r>
    <x v="660"/>
    <x v="15"/>
    <x v="140"/>
    <x v="1"/>
    <x v="1"/>
    <x v="0"/>
    <n v="4"/>
    <n v="60000"/>
    <x v="1"/>
    <n v="16800"/>
  </r>
  <r>
    <x v="661"/>
    <x v="168"/>
    <x v="2"/>
    <x v="6"/>
    <x v="3"/>
    <x v="0"/>
    <n v="3"/>
    <n v="81000"/>
    <x v="3"/>
    <n v="7200"/>
  </r>
  <r>
    <x v="662"/>
    <x v="193"/>
    <x v="64"/>
    <x v="6"/>
    <x v="3"/>
    <x v="1"/>
    <n v="2"/>
    <n v="48000"/>
    <x v="5"/>
    <n v="-1200"/>
  </r>
  <r>
    <x v="663"/>
    <x v="286"/>
    <x v="120"/>
    <x v="9"/>
    <x v="2"/>
    <x v="3"/>
    <n v="3"/>
    <n v="4860"/>
    <x v="3"/>
    <n v="1350"/>
  </r>
  <r>
    <x v="664"/>
    <x v="188"/>
    <x v="90"/>
    <x v="9"/>
    <x v="2"/>
    <x v="0"/>
    <n v="3"/>
    <n v="4590"/>
    <x v="4"/>
    <n v="1080"/>
  </r>
  <r>
    <x v="665"/>
    <x v="23"/>
    <x v="122"/>
    <x v="3"/>
    <x v="0"/>
    <x v="2"/>
    <n v="3"/>
    <n v="675"/>
    <x v="3"/>
    <n v="262.5"/>
  </r>
  <r>
    <x v="666"/>
    <x v="72"/>
    <x v="83"/>
    <x v="1"/>
    <x v="1"/>
    <x v="2"/>
    <n v="1"/>
    <n v="15000"/>
    <x v="1"/>
    <n v="4200"/>
  </r>
  <r>
    <x v="667"/>
    <x v="310"/>
    <x v="106"/>
    <x v="7"/>
    <x v="2"/>
    <x v="1"/>
    <n v="3"/>
    <n v="5940"/>
    <x v="3"/>
    <n v="1650"/>
  </r>
  <r>
    <x v="668"/>
    <x v="15"/>
    <x v="49"/>
    <x v="1"/>
    <x v="1"/>
    <x v="1"/>
    <n v="4"/>
    <n v="54000"/>
    <x v="3"/>
    <n v="10800"/>
  </r>
  <r>
    <x v="669"/>
    <x v="230"/>
    <x v="47"/>
    <x v="7"/>
    <x v="2"/>
    <x v="0"/>
    <n v="1"/>
    <n v="2090"/>
    <x v="2"/>
    <n v="660"/>
  </r>
  <r>
    <x v="670"/>
    <x v="291"/>
    <x v="108"/>
    <x v="3"/>
    <x v="0"/>
    <x v="3"/>
    <n v="4"/>
    <n v="950"/>
    <x v="2"/>
    <n v="400"/>
  </r>
  <r>
    <x v="671"/>
    <x v="207"/>
    <x v="84"/>
    <x v="3"/>
    <x v="0"/>
    <x v="0"/>
    <n v="2"/>
    <n v="450"/>
    <x v="3"/>
    <n v="175"/>
  </r>
  <r>
    <x v="672"/>
    <x v="211"/>
    <x v="76"/>
    <x v="1"/>
    <x v="1"/>
    <x v="3"/>
    <n v="1"/>
    <n v="14250"/>
    <x v="2"/>
    <n v="3450"/>
  </r>
  <r>
    <x v="673"/>
    <x v="102"/>
    <x v="22"/>
    <x v="2"/>
    <x v="1"/>
    <x v="1"/>
    <n v="3"/>
    <n v="36000"/>
    <x v="1"/>
    <n v="10080"/>
  </r>
  <r>
    <x v="674"/>
    <x v="3"/>
    <x v="89"/>
    <x v="9"/>
    <x v="2"/>
    <x v="3"/>
    <n v="2"/>
    <n v="3240"/>
    <x v="3"/>
    <n v="900"/>
  </r>
  <r>
    <x v="675"/>
    <x v="196"/>
    <x v="108"/>
    <x v="7"/>
    <x v="2"/>
    <x v="2"/>
    <n v="4"/>
    <n v="7040"/>
    <x v="5"/>
    <n v="1320"/>
  </r>
  <r>
    <x v="676"/>
    <x v="139"/>
    <x v="8"/>
    <x v="0"/>
    <x v="0"/>
    <x v="2"/>
    <n v="5"/>
    <n v="855"/>
    <x v="2"/>
    <n v="360"/>
  </r>
  <r>
    <x v="677"/>
    <x v="82"/>
    <x v="112"/>
    <x v="0"/>
    <x v="0"/>
    <x v="2"/>
    <n v="1"/>
    <n v="171"/>
    <x v="2"/>
    <n v="72"/>
  </r>
  <r>
    <x v="678"/>
    <x v="138"/>
    <x v="100"/>
    <x v="5"/>
    <x v="3"/>
    <x v="0"/>
    <n v="5"/>
    <n v="20250"/>
    <x v="3"/>
    <n v="1800"/>
  </r>
  <r>
    <x v="679"/>
    <x v="269"/>
    <x v="72"/>
    <x v="7"/>
    <x v="2"/>
    <x v="2"/>
    <n v="1"/>
    <n v="2090"/>
    <x v="2"/>
    <n v="660"/>
  </r>
  <r>
    <x v="680"/>
    <x v="231"/>
    <x v="71"/>
    <x v="4"/>
    <x v="2"/>
    <x v="1"/>
    <n v="5"/>
    <n v="5400"/>
    <x v="3"/>
    <n v="1500"/>
  </r>
  <r>
    <x v="681"/>
    <x v="130"/>
    <x v="83"/>
    <x v="2"/>
    <x v="1"/>
    <x v="2"/>
    <n v="5"/>
    <n v="60000"/>
    <x v="1"/>
    <n v="16800"/>
  </r>
  <r>
    <x v="682"/>
    <x v="138"/>
    <x v="149"/>
    <x v="1"/>
    <x v="1"/>
    <x v="2"/>
    <n v="4"/>
    <n v="54000"/>
    <x v="3"/>
    <n v="10800"/>
  </r>
  <r>
    <x v="683"/>
    <x v="311"/>
    <x v="61"/>
    <x v="8"/>
    <x v="3"/>
    <x v="3"/>
    <n v="3"/>
    <n v="140250"/>
    <x v="4"/>
    <n v="4950"/>
  </r>
  <r>
    <x v="684"/>
    <x v="240"/>
    <x v="75"/>
    <x v="5"/>
    <x v="3"/>
    <x v="3"/>
    <n v="4"/>
    <n v="18000"/>
    <x v="1"/>
    <n v="3240"/>
  </r>
  <r>
    <x v="685"/>
    <x v="312"/>
    <x v="0"/>
    <x v="0"/>
    <x v="0"/>
    <x v="3"/>
    <n v="3"/>
    <n v="513"/>
    <x v="2"/>
    <n v="216"/>
  </r>
  <r>
    <x v="686"/>
    <x v="313"/>
    <x v="150"/>
    <x v="4"/>
    <x v="2"/>
    <x v="1"/>
    <n v="1"/>
    <n v="1080"/>
    <x v="3"/>
    <n v="300"/>
  </r>
  <r>
    <x v="687"/>
    <x v="293"/>
    <x v="71"/>
    <x v="7"/>
    <x v="2"/>
    <x v="2"/>
    <n v="1"/>
    <n v="2090"/>
    <x v="2"/>
    <n v="660"/>
  </r>
  <r>
    <x v="688"/>
    <x v="296"/>
    <x v="15"/>
    <x v="8"/>
    <x v="3"/>
    <x v="0"/>
    <n v="2"/>
    <n v="110000"/>
    <x v="1"/>
    <n v="19800"/>
  </r>
  <r>
    <x v="689"/>
    <x v="36"/>
    <x v="1"/>
    <x v="1"/>
    <x v="1"/>
    <x v="2"/>
    <n v="5"/>
    <n v="71250"/>
    <x v="2"/>
    <n v="17250"/>
  </r>
  <r>
    <x v="690"/>
    <x v="85"/>
    <x v="67"/>
    <x v="8"/>
    <x v="3"/>
    <x v="2"/>
    <n v="5"/>
    <n v="261250"/>
    <x v="2"/>
    <n v="35750"/>
  </r>
  <r>
    <x v="691"/>
    <x v="287"/>
    <x v="118"/>
    <x v="8"/>
    <x v="3"/>
    <x v="3"/>
    <n v="5"/>
    <n v="233750"/>
    <x v="4"/>
    <n v="8250"/>
  </r>
  <r>
    <x v="692"/>
    <x v="202"/>
    <x v="102"/>
    <x v="4"/>
    <x v="2"/>
    <x v="0"/>
    <n v="3"/>
    <n v="3240"/>
    <x v="3"/>
    <n v="900"/>
  </r>
  <r>
    <x v="693"/>
    <x v="172"/>
    <x v="90"/>
    <x v="7"/>
    <x v="2"/>
    <x v="1"/>
    <n v="4"/>
    <n v="7040"/>
    <x v="5"/>
    <n v="1320"/>
  </r>
  <r>
    <x v="694"/>
    <x v="165"/>
    <x v="57"/>
    <x v="9"/>
    <x v="2"/>
    <x v="0"/>
    <n v="1"/>
    <n v="1620"/>
    <x v="3"/>
    <n v="450"/>
  </r>
  <r>
    <x v="695"/>
    <x v="314"/>
    <x v="80"/>
    <x v="5"/>
    <x v="3"/>
    <x v="3"/>
    <n v="4"/>
    <n v="17100"/>
    <x v="2"/>
    <n v="2340"/>
  </r>
  <r>
    <x v="696"/>
    <x v="275"/>
    <x v="143"/>
    <x v="6"/>
    <x v="3"/>
    <x v="0"/>
    <n v="1"/>
    <n v="24000"/>
    <x v="5"/>
    <n v="-600"/>
  </r>
  <r>
    <x v="697"/>
    <x v="298"/>
    <x v="68"/>
    <x v="9"/>
    <x v="2"/>
    <x v="2"/>
    <n v="2"/>
    <n v="2880"/>
    <x v="5"/>
    <n v="540"/>
  </r>
  <r>
    <x v="698"/>
    <x v="18"/>
    <x v="19"/>
    <x v="3"/>
    <x v="0"/>
    <x v="3"/>
    <n v="4"/>
    <n v="950"/>
    <x v="2"/>
    <n v="400"/>
  </r>
  <r>
    <x v="699"/>
    <x v="147"/>
    <x v="20"/>
    <x v="2"/>
    <x v="1"/>
    <x v="0"/>
    <n v="1"/>
    <n v="9000"/>
    <x v="0"/>
    <n v="360"/>
  </r>
  <r>
    <x v="700"/>
    <x v="315"/>
    <x v="137"/>
    <x v="3"/>
    <x v="0"/>
    <x v="3"/>
    <n v="4"/>
    <n v="750"/>
    <x v="0"/>
    <n v="200"/>
  </r>
  <r>
    <x v="701"/>
    <x v="294"/>
    <x v="33"/>
    <x v="5"/>
    <x v="3"/>
    <x v="1"/>
    <n v="3"/>
    <n v="11475"/>
    <x v="4"/>
    <n v="405"/>
  </r>
  <r>
    <x v="702"/>
    <x v="103"/>
    <x v="6"/>
    <x v="7"/>
    <x v="2"/>
    <x v="2"/>
    <n v="3"/>
    <n v="5280"/>
    <x v="5"/>
    <n v="990"/>
  </r>
  <r>
    <x v="703"/>
    <x v="56"/>
    <x v="89"/>
    <x v="8"/>
    <x v="3"/>
    <x v="1"/>
    <n v="1"/>
    <n v="55000"/>
    <x v="1"/>
    <n v="9900"/>
  </r>
  <r>
    <x v="704"/>
    <x v="159"/>
    <x v="2"/>
    <x v="4"/>
    <x v="2"/>
    <x v="0"/>
    <n v="4"/>
    <n v="4080"/>
    <x v="4"/>
    <n v="960"/>
  </r>
  <r>
    <x v="705"/>
    <x v="289"/>
    <x v="9"/>
    <x v="0"/>
    <x v="0"/>
    <x v="0"/>
    <n v="2"/>
    <n v="306"/>
    <x v="4"/>
    <n v="108"/>
  </r>
  <r>
    <x v="706"/>
    <x v="206"/>
    <x v="96"/>
    <x v="0"/>
    <x v="0"/>
    <x v="0"/>
    <n v="4"/>
    <n v="684"/>
    <x v="2"/>
    <n v="288"/>
  </r>
  <r>
    <x v="707"/>
    <x v="3"/>
    <x v="92"/>
    <x v="7"/>
    <x v="2"/>
    <x v="2"/>
    <n v="1"/>
    <n v="2090"/>
    <x v="2"/>
    <n v="660"/>
  </r>
  <r>
    <x v="708"/>
    <x v="287"/>
    <x v="101"/>
    <x v="2"/>
    <x v="1"/>
    <x v="2"/>
    <n v="2"/>
    <n v="21600"/>
    <x v="3"/>
    <n v="4320"/>
  </r>
  <r>
    <x v="709"/>
    <x v="196"/>
    <x v="6"/>
    <x v="3"/>
    <x v="0"/>
    <x v="2"/>
    <n v="3"/>
    <n v="712.5"/>
    <x v="2"/>
    <n v="300"/>
  </r>
  <r>
    <x v="710"/>
    <x v="104"/>
    <x v="7"/>
    <x v="7"/>
    <x v="2"/>
    <x v="2"/>
    <n v="4"/>
    <n v="7480"/>
    <x v="4"/>
    <n v="1760"/>
  </r>
  <r>
    <x v="711"/>
    <x v="292"/>
    <x v="99"/>
    <x v="6"/>
    <x v="3"/>
    <x v="2"/>
    <n v="2"/>
    <n v="57000"/>
    <x v="2"/>
    <n v="7800"/>
  </r>
  <r>
    <x v="712"/>
    <x v="316"/>
    <x v="89"/>
    <x v="8"/>
    <x v="3"/>
    <x v="0"/>
    <n v="1"/>
    <n v="52250"/>
    <x v="2"/>
    <n v="7150"/>
  </r>
  <r>
    <x v="713"/>
    <x v="283"/>
    <x v="47"/>
    <x v="1"/>
    <x v="1"/>
    <x v="2"/>
    <n v="2"/>
    <n v="28500"/>
    <x v="2"/>
    <n v="6900"/>
  </r>
  <r>
    <x v="714"/>
    <x v="208"/>
    <x v="111"/>
    <x v="7"/>
    <x v="2"/>
    <x v="2"/>
    <n v="5"/>
    <n v="9350"/>
    <x v="4"/>
    <n v="2200"/>
  </r>
  <r>
    <x v="715"/>
    <x v="41"/>
    <x v="75"/>
    <x v="9"/>
    <x v="2"/>
    <x v="1"/>
    <n v="4"/>
    <n v="6120"/>
    <x v="4"/>
    <n v="1440"/>
  </r>
  <r>
    <x v="716"/>
    <x v="248"/>
    <x v="135"/>
    <x v="8"/>
    <x v="3"/>
    <x v="0"/>
    <n v="5"/>
    <n v="261250"/>
    <x v="2"/>
    <n v="35750"/>
  </r>
  <r>
    <x v="717"/>
    <x v="239"/>
    <x v="96"/>
    <x v="5"/>
    <x v="3"/>
    <x v="0"/>
    <n v="5"/>
    <n v="20250"/>
    <x v="3"/>
    <n v="1800"/>
  </r>
  <r>
    <x v="718"/>
    <x v="143"/>
    <x v="45"/>
    <x v="9"/>
    <x v="2"/>
    <x v="0"/>
    <n v="3"/>
    <n v="4860"/>
    <x v="3"/>
    <n v="1350"/>
  </r>
  <r>
    <x v="719"/>
    <x v="1"/>
    <x v="135"/>
    <x v="3"/>
    <x v="0"/>
    <x v="1"/>
    <n v="2"/>
    <n v="400"/>
    <x v="5"/>
    <n v="125"/>
  </r>
  <r>
    <x v="720"/>
    <x v="317"/>
    <x v="94"/>
    <x v="3"/>
    <x v="0"/>
    <x v="3"/>
    <n v="3"/>
    <n v="562.5"/>
    <x v="0"/>
    <n v="150"/>
  </r>
  <r>
    <x v="721"/>
    <x v="200"/>
    <x v="87"/>
    <x v="7"/>
    <x v="2"/>
    <x v="3"/>
    <n v="3"/>
    <n v="4950"/>
    <x v="0"/>
    <n v="660"/>
  </r>
  <r>
    <x v="722"/>
    <x v="72"/>
    <x v="134"/>
    <x v="8"/>
    <x v="3"/>
    <x v="3"/>
    <n v="3"/>
    <n v="165000"/>
    <x v="1"/>
    <n v="29700"/>
  </r>
  <r>
    <x v="723"/>
    <x v="11"/>
    <x v="16"/>
    <x v="3"/>
    <x v="0"/>
    <x v="2"/>
    <n v="3"/>
    <n v="750"/>
    <x v="1"/>
    <n v="337.5"/>
  </r>
  <r>
    <x v="724"/>
    <x v="283"/>
    <x v="132"/>
    <x v="3"/>
    <x v="0"/>
    <x v="3"/>
    <n v="2"/>
    <n v="425"/>
    <x v="4"/>
    <n v="150"/>
  </r>
  <r>
    <x v="725"/>
    <x v="78"/>
    <x v="88"/>
    <x v="1"/>
    <x v="1"/>
    <x v="1"/>
    <n v="5"/>
    <n v="67500"/>
    <x v="3"/>
    <n v="13500"/>
  </r>
  <r>
    <x v="726"/>
    <x v="106"/>
    <x v="95"/>
    <x v="5"/>
    <x v="3"/>
    <x v="1"/>
    <n v="3"/>
    <n v="11475"/>
    <x v="4"/>
    <n v="405"/>
  </r>
  <r>
    <x v="727"/>
    <x v="71"/>
    <x v="75"/>
    <x v="5"/>
    <x v="3"/>
    <x v="0"/>
    <n v="3"/>
    <n v="10800"/>
    <x v="5"/>
    <n v="-270"/>
  </r>
  <r>
    <x v="728"/>
    <x v="304"/>
    <x v="5"/>
    <x v="1"/>
    <x v="1"/>
    <x v="2"/>
    <n v="3"/>
    <n v="40500"/>
    <x v="3"/>
    <n v="8100"/>
  </r>
  <r>
    <x v="729"/>
    <x v="151"/>
    <x v="116"/>
    <x v="8"/>
    <x v="3"/>
    <x v="3"/>
    <n v="2"/>
    <n v="93500"/>
    <x v="4"/>
    <n v="3300"/>
  </r>
  <r>
    <x v="730"/>
    <x v="167"/>
    <x v="120"/>
    <x v="6"/>
    <x v="3"/>
    <x v="3"/>
    <n v="3"/>
    <n v="76500"/>
    <x v="4"/>
    <n v="2700"/>
  </r>
  <r>
    <x v="731"/>
    <x v="150"/>
    <x v="12"/>
    <x v="1"/>
    <x v="1"/>
    <x v="0"/>
    <n v="4"/>
    <n v="54000"/>
    <x v="3"/>
    <n v="10800"/>
  </r>
  <r>
    <x v="732"/>
    <x v="286"/>
    <x v="92"/>
    <x v="3"/>
    <x v="0"/>
    <x v="3"/>
    <n v="2"/>
    <n v="450"/>
    <x v="3"/>
    <n v="175"/>
  </r>
  <r>
    <x v="733"/>
    <x v="230"/>
    <x v="130"/>
    <x v="2"/>
    <x v="1"/>
    <x v="2"/>
    <n v="1"/>
    <n v="12000"/>
    <x v="1"/>
    <n v="3360"/>
  </r>
  <r>
    <x v="734"/>
    <x v="150"/>
    <x v="59"/>
    <x v="6"/>
    <x v="3"/>
    <x v="3"/>
    <n v="4"/>
    <n v="102000"/>
    <x v="4"/>
    <n v="3600"/>
  </r>
  <r>
    <x v="735"/>
    <x v="19"/>
    <x v="18"/>
    <x v="9"/>
    <x v="2"/>
    <x v="2"/>
    <n v="4"/>
    <n v="5400"/>
    <x v="0"/>
    <n v="720"/>
  </r>
  <r>
    <x v="736"/>
    <x v="306"/>
    <x v="19"/>
    <x v="6"/>
    <x v="3"/>
    <x v="2"/>
    <n v="5"/>
    <n v="120000"/>
    <x v="5"/>
    <n v="-3000"/>
  </r>
  <r>
    <x v="737"/>
    <x v="317"/>
    <x v="49"/>
    <x v="7"/>
    <x v="2"/>
    <x v="1"/>
    <n v="3"/>
    <n v="5940"/>
    <x v="3"/>
    <n v="1650"/>
  </r>
  <r>
    <x v="738"/>
    <x v="188"/>
    <x v="105"/>
    <x v="9"/>
    <x v="2"/>
    <x v="1"/>
    <n v="5"/>
    <n v="8100"/>
    <x v="3"/>
    <n v="2250"/>
  </r>
  <r>
    <x v="739"/>
    <x v="273"/>
    <x v="1"/>
    <x v="2"/>
    <x v="1"/>
    <x v="1"/>
    <n v="3"/>
    <n v="34200"/>
    <x v="2"/>
    <n v="8280"/>
  </r>
  <r>
    <x v="740"/>
    <x v="131"/>
    <x v="111"/>
    <x v="4"/>
    <x v="2"/>
    <x v="0"/>
    <n v="3"/>
    <n v="3420"/>
    <x v="2"/>
    <n v="1080"/>
  </r>
  <r>
    <x v="741"/>
    <x v="224"/>
    <x v="11"/>
    <x v="9"/>
    <x v="2"/>
    <x v="3"/>
    <n v="5"/>
    <n v="9000"/>
    <x v="1"/>
    <n v="3150"/>
  </r>
  <r>
    <x v="742"/>
    <x v="318"/>
    <x v="32"/>
    <x v="1"/>
    <x v="1"/>
    <x v="2"/>
    <n v="4"/>
    <n v="51000"/>
    <x v="4"/>
    <n v="7800"/>
  </r>
  <r>
    <x v="743"/>
    <x v="319"/>
    <x v="21"/>
    <x v="5"/>
    <x v="3"/>
    <x v="2"/>
    <n v="3"/>
    <n v="11475"/>
    <x v="4"/>
    <n v="405"/>
  </r>
  <r>
    <x v="744"/>
    <x v="278"/>
    <x v="61"/>
    <x v="6"/>
    <x v="3"/>
    <x v="1"/>
    <n v="3"/>
    <n v="81000"/>
    <x v="3"/>
    <n v="7200"/>
  </r>
  <r>
    <x v="745"/>
    <x v="131"/>
    <x v="148"/>
    <x v="2"/>
    <x v="1"/>
    <x v="0"/>
    <n v="5"/>
    <n v="54000"/>
    <x v="3"/>
    <n v="10800"/>
  </r>
  <r>
    <x v="746"/>
    <x v="18"/>
    <x v="13"/>
    <x v="9"/>
    <x v="2"/>
    <x v="2"/>
    <n v="4"/>
    <n v="6840"/>
    <x v="2"/>
    <n v="2160"/>
  </r>
  <r>
    <x v="747"/>
    <x v="54"/>
    <x v="61"/>
    <x v="9"/>
    <x v="2"/>
    <x v="3"/>
    <n v="5"/>
    <n v="8550"/>
    <x v="2"/>
    <n v="2700"/>
  </r>
  <r>
    <x v="748"/>
    <x v="70"/>
    <x v="55"/>
    <x v="8"/>
    <x v="3"/>
    <x v="2"/>
    <n v="4"/>
    <n v="187000"/>
    <x v="4"/>
    <n v="6600"/>
  </r>
  <r>
    <x v="749"/>
    <x v="316"/>
    <x v="72"/>
    <x v="3"/>
    <x v="0"/>
    <x v="1"/>
    <n v="4"/>
    <n v="1000"/>
    <x v="1"/>
    <n v="450"/>
  </r>
  <r>
    <x v="750"/>
    <x v="281"/>
    <x v="43"/>
    <x v="9"/>
    <x v="2"/>
    <x v="1"/>
    <n v="2"/>
    <n v="3060"/>
    <x v="4"/>
    <n v="720"/>
  </r>
  <r>
    <x v="751"/>
    <x v="256"/>
    <x v="132"/>
    <x v="1"/>
    <x v="1"/>
    <x v="1"/>
    <n v="2"/>
    <n v="27000"/>
    <x v="3"/>
    <n v="5400"/>
  </r>
  <r>
    <x v="752"/>
    <x v="288"/>
    <x v="103"/>
    <x v="0"/>
    <x v="0"/>
    <x v="3"/>
    <n v="1"/>
    <n v="162"/>
    <x v="3"/>
    <n v="63"/>
  </r>
  <r>
    <x v="753"/>
    <x v="320"/>
    <x v="113"/>
    <x v="7"/>
    <x v="2"/>
    <x v="0"/>
    <n v="5"/>
    <n v="9900"/>
    <x v="3"/>
    <n v="2750"/>
  </r>
  <r>
    <x v="754"/>
    <x v="321"/>
    <x v="3"/>
    <x v="4"/>
    <x v="2"/>
    <x v="3"/>
    <n v="2"/>
    <n v="2040"/>
    <x v="4"/>
    <n v="480"/>
  </r>
  <r>
    <x v="755"/>
    <x v="177"/>
    <x v="30"/>
    <x v="0"/>
    <x v="0"/>
    <x v="2"/>
    <n v="5"/>
    <n v="675"/>
    <x v="0"/>
    <n v="180"/>
  </r>
  <r>
    <x v="756"/>
    <x v="152"/>
    <x v="101"/>
    <x v="1"/>
    <x v="1"/>
    <x v="1"/>
    <n v="2"/>
    <n v="27000"/>
    <x v="3"/>
    <n v="5400"/>
  </r>
  <r>
    <x v="757"/>
    <x v="69"/>
    <x v="15"/>
    <x v="3"/>
    <x v="0"/>
    <x v="2"/>
    <n v="3"/>
    <n v="637.5"/>
    <x v="4"/>
    <n v="225"/>
  </r>
  <r>
    <x v="758"/>
    <x v="30"/>
    <x v="52"/>
    <x v="0"/>
    <x v="0"/>
    <x v="1"/>
    <n v="4"/>
    <n v="648"/>
    <x v="3"/>
    <n v="252"/>
  </r>
  <r>
    <x v="759"/>
    <x v="191"/>
    <x v="18"/>
    <x v="8"/>
    <x v="3"/>
    <x v="2"/>
    <n v="1"/>
    <n v="55000"/>
    <x v="1"/>
    <n v="9900"/>
  </r>
  <r>
    <x v="760"/>
    <x v="267"/>
    <x v="88"/>
    <x v="3"/>
    <x v="0"/>
    <x v="0"/>
    <n v="4"/>
    <n v="750"/>
    <x v="0"/>
    <n v="200"/>
  </r>
  <r>
    <x v="761"/>
    <x v="19"/>
    <x v="49"/>
    <x v="3"/>
    <x v="0"/>
    <x v="1"/>
    <n v="4"/>
    <n v="1000"/>
    <x v="1"/>
    <n v="450"/>
  </r>
  <r>
    <x v="762"/>
    <x v="236"/>
    <x v="132"/>
    <x v="3"/>
    <x v="0"/>
    <x v="2"/>
    <n v="1"/>
    <n v="212.5"/>
    <x v="4"/>
    <n v="75"/>
  </r>
  <r>
    <x v="763"/>
    <x v="322"/>
    <x v="94"/>
    <x v="5"/>
    <x v="3"/>
    <x v="0"/>
    <n v="3"/>
    <n v="12825"/>
    <x v="2"/>
    <n v="1755"/>
  </r>
  <r>
    <x v="764"/>
    <x v="219"/>
    <x v="58"/>
    <x v="1"/>
    <x v="1"/>
    <x v="3"/>
    <n v="4"/>
    <n v="51000"/>
    <x v="4"/>
    <n v="7800"/>
  </r>
  <r>
    <x v="765"/>
    <x v="193"/>
    <x v="106"/>
    <x v="3"/>
    <x v="0"/>
    <x v="0"/>
    <n v="4"/>
    <n v="1000"/>
    <x v="1"/>
    <n v="450"/>
  </r>
  <r>
    <x v="766"/>
    <x v="48"/>
    <x v="2"/>
    <x v="2"/>
    <x v="1"/>
    <x v="1"/>
    <n v="4"/>
    <n v="40800"/>
    <x v="4"/>
    <n v="6240"/>
  </r>
  <r>
    <x v="767"/>
    <x v="47"/>
    <x v="0"/>
    <x v="6"/>
    <x v="3"/>
    <x v="1"/>
    <n v="3"/>
    <n v="90000"/>
    <x v="1"/>
    <n v="16200"/>
  </r>
  <r>
    <x v="768"/>
    <x v="84"/>
    <x v="74"/>
    <x v="7"/>
    <x v="2"/>
    <x v="3"/>
    <n v="3"/>
    <n v="5940"/>
    <x v="3"/>
    <n v="1650"/>
  </r>
  <r>
    <x v="769"/>
    <x v="221"/>
    <x v="23"/>
    <x v="6"/>
    <x v="3"/>
    <x v="0"/>
    <n v="2"/>
    <n v="54000"/>
    <x v="3"/>
    <n v="4800"/>
  </r>
  <r>
    <x v="770"/>
    <x v="42"/>
    <x v="63"/>
    <x v="6"/>
    <x v="3"/>
    <x v="3"/>
    <n v="5"/>
    <n v="127500"/>
    <x v="4"/>
    <n v="4500"/>
  </r>
  <r>
    <x v="771"/>
    <x v="160"/>
    <x v="35"/>
    <x v="1"/>
    <x v="1"/>
    <x v="3"/>
    <n v="5"/>
    <n v="75000"/>
    <x v="1"/>
    <n v="21000"/>
  </r>
  <r>
    <x v="772"/>
    <x v="7"/>
    <x v="105"/>
    <x v="4"/>
    <x v="2"/>
    <x v="1"/>
    <n v="4"/>
    <n v="4320"/>
    <x v="3"/>
    <n v="1200"/>
  </r>
  <r>
    <x v="773"/>
    <x v="133"/>
    <x v="41"/>
    <x v="8"/>
    <x v="3"/>
    <x v="0"/>
    <n v="1"/>
    <n v="49500"/>
    <x v="3"/>
    <n v="4400"/>
  </r>
  <r>
    <x v="774"/>
    <x v="320"/>
    <x v="116"/>
    <x v="5"/>
    <x v="3"/>
    <x v="3"/>
    <n v="3"/>
    <n v="12150"/>
    <x v="3"/>
    <n v="1080"/>
  </r>
  <r>
    <x v="775"/>
    <x v="267"/>
    <x v="133"/>
    <x v="8"/>
    <x v="3"/>
    <x v="0"/>
    <n v="5"/>
    <n v="275000"/>
    <x v="1"/>
    <n v="49500"/>
  </r>
  <r>
    <x v="776"/>
    <x v="275"/>
    <x v="23"/>
    <x v="9"/>
    <x v="2"/>
    <x v="3"/>
    <n v="2"/>
    <n v="3420"/>
    <x v="2"/>
    <n v="1080"/>
  </r>
  <r>
    <x v="777"/>
    <x v="75"/>
    <x v="83"/>
    <x v="8"/>
    <x v="3"/>
    <x v="1"/>
    <n v="1"/>
    <n v="52250"/>
    <x v="2"/>
    <n v="7150"/>
  </r>
  <r>
    <x v="778"/>
    <x v="98"/>
    <x v="37"/>
    <x v="0"/>
    <x v="0"/>
    <x v="1"/>
    <n v="2"/>
    <n v="342"/>
    <x v="2"/>
    <n v="144"/>
  </r>
  <r>
    <x v="779"/>
    <x v="275"/>
    <x v="1"/>
    <x v="4"/>
    <x v="2"/>
    <x v="0"/>
    <n v="1"/>
    <n v="1140"/>
    <x v="2"/>
    <n v="360"/>
  </r>
  <r>
    <x v="780"/>
    <x v="130"/>
    <x v="80"/>
    <x v="1"/>
    <x v="1"/>
    <x v="3"/>
    <n v="3"/>
    <n v="42750"/>
    <x v="2"/>
    <n v="10350"/>
  </r>
  <r>
    <x v="781"/>
    <x v="24"/>
    <x v="84"/>
    <x v="8"/>
    <x v="3"/>
    <x v="3"/>
    <n v="3"/>
    <n v="156750"/>
    <x v="2"/>
    <n v="21450"/>
  </r>
  <r>
    <x v="782"/>
    <x v="230"/>
    <x v="59"/>
    <x v="1"/>
    <x v="1"/>
    <x v="1"/>
    <n v="3"/>
    <n v="40500"/>
    <x v="3"/>
    <n v="8100"/>
  </r>
  <r>
    <x v="783"/>
    <x v="51"/>
    <x v="146"/>
    <x v="7"/>
    <x v="2"/>
    <x v="1"/>
    <n v="5"/>
    <n v="11000"/>
    <x v="1"/>
    <n v="3850"/>
  </r>
  <r>
    <x v="784"/>
    <x v="74"/>
    <x v="132"/>
    <x v="0"/>
    <x v="0"/>
    <x v="2"/>
    <n v="4"/>
    <n v="540"/>
    <x v="0"/>
    <n v="144"/>
  </r>
  <r>
    <x v="785"/>
    <x v="167"/>
    <x v="15"/>
    <x v="9"/>
    <x v="2"/>
    <x v="1"/>
    <n v="3"/>
    <n v="4320"/>
    <x v="5"/>
    <n v="810"/>
  </r>
  <r>
    <x v="786"/>
    <x v="187"/>
    <x v="106"/>
    <x v="8"/>
    <x v="3"/>
    <x v="1"/>
    <n v="4"/>
    <n v="209000"/>
    <x v="2"/>
    <n v="28600"/>
  </r>
  <r>
    <x v="787"/>
    <x v="105"/>
    <x v="101"/>
    <x v="3"/>
    <x v="0"/>
    <x v="3"/>
    <n v="4"/>
    <n v="1000"/>
    <x v="1"/>
    <n v="450"/>
  </r>
  <r>
    <x v="788"/>
    <x v="279"/>
    <x v="137"/>
    <x v="9"/>
    <x v="2"/>
    <x v="2"/>
    <n v="5"/>
    <n v="8100"/>
    <x v="3"/>
    <n v="2250"/>
  </r>
  <r>
    <x v="789"/>
    <x v="18"/>
    <x v="138"/>
    <x v="9"/>
    <x v="2"/>
    <x v="3"/>
    <n v="2"/>
    <n v="2880"/>
    <x v="5"/>
    <n v="540"/>
  </r>
  <r>
    <x v="790"/>
    <x v="77"/>
    <x v="25"/>
    <x v="5"/>
    <x v="3"/>
    <x v="3"/>
    <n v="5"/>
    <n v="22500"/>
    <x v="1"/>
    <n v="4050"/>
  </r>
  <r>
    <x v="791"/>
    <x v="323"/>
    <x v="46"/>
    <x v="5"/>
    <x v="3"/>
    <x v="3"/>
    <n v="4"/>
    <n v="14400"/>
    <x v="5"/>
    <n v="-360"/>
  </r>
  <r>
    <x v="792"/>
    <x v="294"/>
    <x v="128"/>
    <x v="6"/>
    <x v="3"/>
    <x v="1"/>
    <n v="2"/>
    <n v="48000"/>
    <x v="5"/>
    <n v="-1200"/>
  </r>
  <r>
    <x v="793"/>
    <x v="253"/>
    <x v="4"/>
    <x v="0"/>
    <x v="0"/>
    <x v="2"/>
    <n v="1"/>
    <n v="162"/>
    <x v="3"/>
    <n v="63"/>
  </r>
  <r>
    <x v="794"/>
    <x v="218"/>
    <x v="35"/>
    <x v="1"/>
    <x v="1"/>
    <x v="2"/>
    <n v="1"/>
    <n v="12000"/>
    <x v="5"/>
    <n v="1200"/>
  </r>
  <r>
    <x v="795"/>
    <x v="239"/>
    <x v="88"/>
    <x v="7"/>
    <x v="2"/>
    <x v="0"/>
    <n v="2"/>
    <n v="4400"/>
    <x v="1"/>
    <n v="1540"/>
  </r>
  <r>
    <x v="796"/>
    <x v="153"/>
    <x v="151"/>
    <x v="11"/>
    <x v="4"/>
    <x v="4"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0E2C1-0D52-4C23-B4FC-EE974E4345F4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16">
    <pivotField showAll="0"/>
    <pivotField showAll="0">
      <items count="325">
        <item x="213"/>
        <item x="210"/>
        <item x="243"/>
        <item x="205"/>
        <item x="117"/>
        <item x="112"/>
        <item x="86"/>
        <item x="176"/>
        <item x="234"/>
        <item x="281"/>
        <item x="108"/>
        <item x="302"/>
        <item x="151"/>
        <item x="20"/>
        <item x="136"/>
        <item x="237"/>
        <item x="313"/>
        <item x="211"/>
        <item x="251"/>
        <item x="295"/>
        <item x="113"/>
        <item x="185"/>
        <item x="154"/>
        <item x="24"/>
        <item x="22"/>
        <item x="100"/>
        <item x="236"/>
        <item x="17"/>
        <item x="94"/>
        <item x="8"/>
        <item x="70"/>
        <item x="46"/>
        <item x="120"/>
        <item x="49"/>
        <item x="177"/>
        <item x="198"/>
        <item x="125"/>
        <item x="300"/>
        <item x="323"/>
        <item x="273"/>
        <item x="180"/>
        <item x="164"/>
        <item x="298"/>
        <item x="233"/>
        <item x="304"/>
        <item x="93"/>
        <item x="7"/>
        <item x="9"/>
        <item x="244"/>
        <item x="110"/>
        <item x="163"/>
        <item x="59"/>
        <item x="150"/>
        <item x="54"/>
        <item x="106"/>
        <item x="287"/>
        <item x="15"/>
        <item x="318"/>
        <item x="14"/>
        <item x="253"/>
        <item x="114"/>
        <item x="216"/>
        <item x="102"/>
        <item x="248"/>
        <item x="319"/>
        <item x="267"/>
        <item x="161"/>
        <item x="182"/>
        <item x="276"/>
        <item x="73"/>
        <item x="191"/>
        <item x="111"/>
        <item x="308"/>
        <item x="201"/>
        <item x="29"/>
        <item x="147"/>
        <item x="303"/>
        <item x="186"/>
        <item x="165"/>
        <item x="231"/>
        <item x="145"/>
        <item x="67"/>
        <item x="261"/>
        <item x="107"/>
        <item x="209"/>
        <item x="189"/>
        <item x="21"/>
        <item x="144"/>
        <item x="252"/>
        <item x="63"/>
        <item x="162"/>
        <item x="207"/>
        <item x="166"/>
        <item x="130"/>
        <item x="321"/>
        <item x="0"/>
        <item x="232"/>
        <item x="263"/>
        <item x="241"/>
        <item x="38"/>
        <item x="272"/>
        <item x="68"/>
        <item x="218"/>
        <item x="58"/>
        <item x="95"/>
        <item x="194"/>
        <item x="40"/>
        <item x="220"/>
        <item x="311"/>
        <item x="315"/>
        <item x="56"/>
        <item x="52"/>
        <item x="270"/>
        <item x="193"/>
        <item x="36"/>
        <item x="291"/>
        <item x="19"/>
        <item x="294"/>
        <item x="259"/>
        <item x="83"/>
        <item x="246"/>
        <item x="101"/>
        <item x="275"/>
        <item x="39"/>
        <item x="215"/>
        <item x="170"/>
        <item x="249"/>
        <item x="61"/>
        <item x="87"/>
        <item x="90"/>
        <item x="35"/>
        <item x="307"/>
        <item x="134"/>
        <item x="138"/>
        <item x="37"/>
        <item x="312"/>
        <item x="235"/>
        <item x="135"/>
        <item x="290"/>
        <item x="285"/>
        <item x="128"/>
        <item x="264"/>
        <item x="245"/>
        <item x="31"/>
        <item x="121"/>
        <item x="142"/>
        <item x="200"/>
        <item x="255"/>
        <item x="27"/>
        <item x="316"/>
        <item x="299"/>
        <item x="301"/>
        <item x="250"/>
        <item x="4"/>
        <item x="284"/>
        <item x="45"/>
        <item x="81"/>
        <item x="47"/>
        <item x="271"/>
        <item x="139"/>
        <item x="173"/>
        <item x="65"/>
        <item x="228"/>
        <item x="133"/>
        <item x="71"/>
        <item x="105"/>
        <item x="74"/>
        <item x="72"/>
        <item x="13"/>
        <item x="156"/>
        <item x="277"/>
        <item x="98"/>
        <item x="157"/>
        <item x="141"/>
        <item x="148"/>
        <item x="258"/>
        <item x="137"/>
        <item x="152"/>
        <item x="92"/>
        <item x="262"/>
        <item x="62"/>
        <item x="179"/>
        <item x="202"/>
        <item x="187"/>
        <item x="188"/>
        <item x="167"/>
        <item x="140"/>
        <item x="309"/>
        <item x="124"/>
        <item x="230"/>
        <item x="282"/>
        <item x="204"/>
        <item x="10"/>
        <item x="206"/>
        <item x="75"/>
        <item x="288"/>
        <item x="30"/>
        <item x="119"/>
        <item x="171"/>
        <item x="242"/>
        <item x="195"/>
        <item x="84"/>
        <item x="310"/>
        <item x="199"/>
        <item x="158"/>
        <item x="314"/>
        <item x="240"/>
        <item x="103"/>
        <item x="96"/>
        <item x="196"/>
        <item x="256"/>
        <item x="296"/>
        <item x="33"/>
        <item x="297"/>
        <item x="89"/>
        <item x="116"/>
        <item x="203"/>
        <item x="227"/>
        <item x="257"/>
        <item x="305"/>
        <item x="69"/>
        <item x="159"/>
        <item x="229"/>
        <item x="76"/>
        <item x="217"/>
        <item x="143"/>
        <item x="88"/>
        <item x="132"/>
        <item x="2"/>
        <item x="26"/>
        <item x="225"/>
        <item x="16"/>
        <item x="192"/>
        <item x="146"/>
        <item x="44"/>
        <item x="320"/>
        <item x="268"/>
        <item x="190"/>
        <item x="155"/>
        <item x="174"/>
        <item x="184"/>
        <item x="60"/>
        <item x="48"/>
        <item x="6"/>
        <item x="57"/>
        <item x="224"/>
        <item x="3"/>
        <item x="274"/>
        <item x="208"/>
        <item x="64"/>
        <item x="115"/>
        <item x="77"/>
        <item x="23"/>
        <item x="221"/>
        <item x="219"/>
        <item x="51"/>
        <item x="43"/>
        <item x="279"/>
        <item x="266"/>
        <item x="212"/>
        <item x="131"/>
        <item x="32"/>
        <item x="28"/>
        <item x="12"/>
        <item x="317"/>
        <item x="118"/>
        <item x="109"/>
        <item x="239"/>
        <item x="97"/>
        <item x="11"/>
        <item x="85"/>
        <item x="280"/>
        <item x="254"/>
        <item x="226"/>
        <item x="127"/>
        <item x="172"/>
        <item x="91"/>
        <item x="214"/>
        <item x="269"/>
        <item x="322"/>
        <item x="50"/>
        <item x="82"/>
        <item x="168"/>
        <item x="122"/>
        <item x="5"/>
        <item x="286"/>
        <item x="306"/>
        <item x="223"/>
        <item x="129"/>
        <item x="265"/>
        <item x="53"/>
        <item x="79"/>
        <item x="123"/>
        <item x="66"/>
        <item x="1"/>
        <item x="260"/>
        <item x="197"/>
        <item x="104"/>
        <item x="160"/>
        <item x="42"/>
        <item x="78"/>
        <item x="41"/>
        <item x="149"/>
        <item x="181"/>
        <item x="178"/>
        <item x="292"/>
        <item x="99"/>
        <item x="25"/>
        <item x="34"/>
        <item x="55"/>
        <item x="183"/>
        <item x="126"/>
        <item x="293"/>
        <item x="289"/>
        <item x="283"/>
        <item x="175"/>
        <item x="278"/>
        <item x="169"/>
        <item x="18"/>
        <item x="222"/>
        <item x="238"/>
        <item x="80"/>
        <item x="247"/>
        <item x="153"/>
        <item t="default"/>
      </items>
    </pivotField>
    <pivotField showAll="0"/>
    <pivotField axis="axisRow" showAll="0">
      <items count="13">
        <item x="9"/>
        <item x="1"/>
        <item x="5"/>
        <item x="7"/>
        <item x="8"/>
        <item x="4"/>
        <item x="3"/>
        <item x="2"/>
        <item x="0"/>
        <item x="6"/>
        <item x="10"/>
        <item x="11"/>
        <item t="default"/>
      </items>
    </pivotField>
    <pivotField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Sum of Profit margin" fld="10" baseField="0" baseItem="0"/>
  </dataFields>
  <formats count="1">
    <format dxfId="12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4170B-8142-433B-AA0D-D2718B2074DA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0" firstDataRow="1" firstDataCol="1"/>
  <pivotFields count="16">
    <pivotField dataField="1" showAll="0">
      <items count="7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t="default"/>
      </items>
    </pivotField>
    <pivotField showAll="0">
      <items count="325">
        <item x="213"/>
        <item x="210"/>
        <item x="243"/>
        <item x="205"/>
        <item x="117"/>
        <item x="112"/>
        <item x="86"/>
        <item x="176"/>
        <item x="234"/>
        <item x="281"/>
        <item x="108"/>
        <item x="302"/>
        <item x="151"/>
        <item x="20"/>
        <item x="136"/>
        <item x="237"/>
        <item x="313"/>
        <item x="211"/>
        <item x="251"/>
        <item x="295"/>
        <item x="113"/>
        <item x="185"/>
        <item x="154"/>
        <item x="24"/>
        <item x="22"/>
        <item x="100"/>
        <item x="236"/>
        <item x="17"/>
        <item x="94"/>
        <item x="8"/>
        <item x="70"/>
        <item x="46"/>
        <item x="120"/>
        <item x="49"/>
        <item x="177"/>
        <item x="198"/>
        <item x="125"/>
        <item x="300"/>
        <item x="323"/>
        <item x="273"/>
        <item x="180"/>
        <item x="164"/>
        <item x="298"/>
        <item x="233"/>
        <item x="304"/>
        <item x="93"/>
        <item x="7"/>
        <item x="9"/>
        <item x="244"/>
        <item x="110"/>
        <item x="163"/>
        <item x="59"/>
        <item x="150"/>
        <item x="54"/>
        <item x="106"/>
        <item x="287"/>
        <item x="15"/>
        <item x="318"/>
        <item x="14"/>
        <item x="253"/>
        <item x="114"/>
        <item x="216"/>
        <item x="102"/>
        <item x="248"/>
        <item x="319"/>
        <item x="267"/>
        <item x="161"/>
        <item x="182"/>
        <item x="276"/>
        <item x="73"/>
        <item x="191"/>
        <item x="111"/>
        <item x="308"/>
        <item x="201"/>
        <item x="29"/>
        <item x="147"/>
        <item x="303"/>
        <item x="186"/>
        <item x="165"/>
        <item x="231"/>
        <item x="145"/>
        <item x="67"/>
        <item x="261"/>
        <item x="107"/>
        <item x="209"/>
        <item x="189"/>
        <item x="21"/>
        <item x="144"/>
        <item x="252"/>
        <item x="63"/>
        <item x="162"/>
        <item x="207"/>
        <item x="166"/>
        <item x="130"/>
        <item x="321"/>
        <item x="0"/>
        <item x="232"/>
        <item x="263"/>
        <item x="241"/>
        <item x="38"/>
        <item x="272"/>
        <item x="68"/>
        <item x="218"/>
        <item x="58"/>
        <item x="95"/>
        <item x="194"/>
        <item x="40"/>
        <item x="220"/>
        <item x="311"/>
        <item x="315"/>
        <item x="56"/>
        <item x="52"/>
        <item x="270"/>
        <item x="193"/>
        <item x="36"/>
        <item x="291"/>
        <item x="19"/>
        <item x="294"/>
        <item x="259"/>
        <item x="83"/>
        <item x="246"/>
        <item x="101"/>
        <item x="275"/>
        <item x="39"/>
        <item x="215"/>
        <item x="170"/>
        <item x="249"/>
        <item x="61"/>
        <item x="87"/>
        <item x="90"/>
        <item x="35"/>
        <item x="307"/>
        <item x="134"/>
        <item x="138"/>
        <item x="37"/>
        <item x="312"/>
        <item x="235"/>
        <item x="135"/>
        <item x="290"/>
        <item x="285"/>
        <item x="128"/>
        <item x="264"/>
        <item x="245"/>
        <item x="31"/>
        <item x="121"/>
        <item x="142"/>
        <item x="200"/>
        <item x="255"/>
        <item x="27"/>
        <item x="316"/>
        <item x="299"/>
        <item x="301"/>
        <item x="250"/>
        <item x="4"/>
        <item x="284"/>
        <item x="45"/>
        <item x="81"/>
        <item x="47"/>
        <item x="271"/>
        <item x="139"/>
        <item x="173"/>
        <item x="65"/>
        <item x="228"/>
        <item x="133"/>
        <item x="71"/>
        <item x="105"/>
        <item x="74"/>
        <item x="72"/>
        <item x="13"/>
        <item x="156"/>
        <item x="277"/>
        <item x="98"/>
        <item x="157"/>
        <item x="141"/>
        <item x="148"/>
        <item x="258"/>
        <item x="137"/>
        <item x="152"/>
        <item x="92"/>
        <item x="262"/>
        <item x="62"/>
        <item x="179"/>
        <item x="202"/>
        <item x="187"/>
        <item x="188"/>
        <item x="167"/>
        <item x="140"/>
        <item x="309"/>
        <item x="124"/>
        <item x="230"/>
        <item x="282"/>
        <item x="204"/>
        <item x="10"/>
        <item x="206"/>
        <item x="75"/>
        <item x="288"/>
        <item x="30"/>
        <item x="119"/>
        <item x="171"/>
        <item x="242"/>
        <item x="195"/>
        <item x="84"/>
        <item x="310"/>
        <item x="199"/>
        <item x="158"/>
        <item x="314"/>
        <item x="240"/>
        <item x="103"/>
        <item x="96"/>
        <item x="196"/>
        <item x="256"/>
        <item x="296"/>
        <item x="33"/>
        <item x="297"/>
        <item x="89"/>
        <item x="116"/>
        <item x="203"/>
        <item x="227"/>
        <item x="257"/>
        <item x="305"/>
        <item x="69"/>
        <item x="159"/>
        <item x="229"/>
        <item x="76"/>
        <item x="217"/>
        <item x="143"/>
        <item x="88"/>
        <item x="132"/>
        <item x="2"/>
        <item x="26"/>
        <item x="225"/>
        <item x="16"/>
        <item x="192"/>
        <item x="146"/>
        <item x="44"/>
        <item x="320"/>
        <item x="268"/>
        <item x="190"/>
        <item x="155"/>
        <item x="174"/>
        <item x="184"/>
        <item x="60"/>
        <item x="48"/>
        <item x="6"/>
        <item x="57"/>
        <item x="224"/>
        <item x="3"/>
        <item x="274"/>
        <item x="208"/>
        <item x="64"/>
        <item x="115"/>
        <item x="77"/>
        <item x="23"/>
        <item x="221"/>
        <item x="219"/>
        <item x="51"/>
        <item x="43"/>
        <item x="279"/>
        <item x="266"/>
        <item x="212"/>
        <item x="131"/>
        <item x="32"/>
        <item x="28"/>
        <item x="12"/>
        <item x="317"/>
        <item x="118"/>
        <item x="109"/>
        <item x="239"/>
        <item x="97"/>
        <item x="11"/>
        <item x="85"/>
        <item x="280"/>
        <item x="254"/>
        <item x="226"/>
        <item x="127"/>
        <item x="172"/>
        <item x="91"/>
        <item x="214"/>
        <item x="269"/>
        <item x="322"/>
        <item x="50"/>
        <item x="82"/>
        <item x="168"/>
        <item x="122"/>
        <item x="5"/>
        <item x="286"/>
        <item x="306"/>
        <item x="223"/>
        <item x="129"/>
        <item x="265"/>
        <item x="53"/>
        <item x="79"/>
        <item x="123"/>
        <item x="66"/>
        <item x="1"/>
        <item x="260"/>
        <item x="197"/>
        <item x="104"/>
        <item x="160"/>
        <item x="42"/>
        <item x="78"/>
        <item x="41"/>
        <item x="149"/>
        <item x="181"/>
        <item x="178"/>
        <item x="292"/>
        <item x="99"/>
        <item x="25"/>
        <item x="34"/>
        <item x="55"/>
        <item x="183"/>
        <item x="126"/>
        <item x="293"/>
        <item x="289"/>
        <item x="283"/>
        <item x="175"/>
        <item x="278"/>
        <item x="169"/>
        <item x="18"/>
        <item x="222"/>
        <item x="238"/>
        <item x="80"/>
        <item x="247"/>
        <item x="153"/>
        <item t="default"/>
      </items>
    </pivotField>
    <pivotField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dataField="1" showAll="0"/>
    <pivotField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6">
    <i>
      <x v="3"/>
    </i>
    <i>
      <x v="2"/>
    </i>
    <i>
      <x v="1"/>
    </i>
    <i>
      <x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7" baseField="0" baseItem="0"/>
    <dataField name="Sum of profit" fld="9" baseField="0" baseItem="0"/>
    <dataField name="Sum of quantity" fld="6" baseField="0" baseItem="0"/>
    <dataField name="Count of order_id" fld="0" subtotal="count" baseField="0" baseItem="0"/>
    <dataField name="Sum of Profit margine" fld="11" baseField="0" baseItem="0" numFmtId="10"/>
  </dataFields>
  <formats count="3">
    <format dxfId="11">
      <pivotArea collapsedLevelsAreSubtotals="1" fieldPosition="0">
        <references count="2">
          <reference field="4294967294" count="1" selected="0">
            <x v="4"/>
          </reference>
          <reference field="5" count="1">
            <x v="3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672E4-6378-4EBD-8FE2-B2979E224DE2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6">
    <pivotField dataField="1" showAll="0"/>
    <pivotField showAll="0">
      <items count="325">
        <item x="213"/>
        <item x="210"/>
        <item x="243"/>
        <item x="205"/>
        <item x="117"/>
        <item x="112"/>
        <item x="86"/>
        <item x="176"/>
        <item x="234"/>
        <item x="281"/>
        <item x="108"/>
        <item x="302"/>
        <item x="151"/>
        <item x="20"/>
        <item x="136"/>
        <item x="237"/>
        <item x="313"/>
        <item x="211"/>
        <item x="251"/>
        <item x="295"/>
        <item x="113"/>
        <item x="185"/>
        <item x="154"/>
        <item x="24"/>
        <item x="22"/>
        <item x="100"/>
        <item x="236"/>
        <item x="17"/>
        <item x="94"/>
        <item x="8"/>
        <item x="70"/>
        <item x="46"/>
        <item x="120"/>
        <item x="49"/>
        <item x="177"/>
        <item x="198"/>
        <item x="125"/>
        <item x="300"/>
        <item x="323"/>
        <item x="273"/>
        <item x="180"/>
        <item x="164"/>
        <item x="298"/>
        <item x="233"/>
        <item x="304"/>
        <item x="93"/>
        <item x="7"/>
        <item x="9"/>
        <item x="244"/>
        <item x="110"/>
        <item x="163"/>
        <item x="59"/>
        <item x="150"/>
        <item x="54"/>
        <item x="106"/>
        <item x="287"/>
        <item x="15"/>
        <item x="318"/>
        <item x="14"/>
        <item x="253"/>
        <item x="114"/>
        <item x="216"/>
        <item x="102"/>
        <item x="248"/>
        <item x="319"/>
        <item x="267"/>
        <item x="161"/>
        <item x="182"/>
        <item x="276"/>
        <item x="73"/>
        <item x="191"/>
        <item x="111"/>
        <item x="308"/>
        <item x="201"/>
        <item x="29"/>
        <item x="147"/>
        <item x="303"/>
        <item x="186"/>
        <item x="165"/>
        <item x="231"/>
        <item x="145"/>
        <item x="67"/>
        <item x="261"/>
        <item x="107"/>
        <item x="209"/>
        <item x="189"/>
        <item x="21"/>
        <item x="144"/>
        <item x="252"/>
        <item x="63"/>
        <item x="162"/>
        <item x="207"/>
        <item x="166"/>
        <item x="130"/>
        <item x="321"/>
        <item x="0"/>
        <item x="232"/>
        <item x="263"/>
        <item x="241"/>
        <item x="38"/>
        <item x="272"/>
        <item x="68"/>
        <item x="218"/>
        <item x="58"/>
        <item x="95"/>
        <item x="194"/>
        <item x="40"/>
        <item x="220"/>
        <item x="311"/>
        <item x="315"/>
        <item x="56"/>
        <item x="52"/>
        <item x="270"/>
        <item x="193"/>
        <item x="36"/>
        <item x="291"/>
        <item x="19"/>
        <item x="294"/>
        <item x="259"/>
        <item x="83"/>
        <item x="246"/>
        <item x="101"/>
        <item x="275"/>
        <item x="39"/>
        <item x="215"/>
        <item x="170"/>
        <item x="249"/>
        <item x="61"/>
        <item x="87"/>
        <item x="90"/>
        <item x="35"/>
        <item x="307"/>
        <item x="134"/>
        <item x="138"/>
        <item x="37"/>
        <item x="312"/>
        <item x="235"/>
        <item x="135"/>
        <item x="290"/>
        <item x="285"/>
        <item x="128"/>
        <item x="264"/>
        <item x="245"/>
        <item x="31"/>
        <item x="121"/>
        <item x="142"/>
        <item x="200"/>
        <item x="255"/>
        <item x="27"/>
        <item x="316"/>
        <item x="299"/>
        <item x="301"/>
        <item x="250"/>
        <item x="4"/>
        <item x="284"/>
        <item x="45"/>
        <item x="81"/>
        <item x="47"/>
        <item x="271"/>
        <item x="139"/>
        <item x="173"/>
        <item x="65"/>
        <item x="228"/>
        <item x="133"/>
        <item x="71"/>
        <item x="105"/>
        <item x="74"/>
        <item x="72"/>
        <item x="13"/>
        <item x="156"/>
        <item x="277"/>
        <item x="98"/>
        <item x="157"/>
        <item x="141"/>
        <item x="148"/>
        <item x="258"/>
        <item x="137"/>
        <item x="152"/>
        <item x="92"/>
        <item x="262"/>
        <item x="62"/>
        <item x="179"/>
        <item x="202"/>
        <item x="187"/>
        <item x="188"/>
        <item x="167"/>
        <item x="140"/>
        <item x="309"/>
        <item x="124"/>
        <item x="230"/>
        <item x="282"/>
        <item x="204"/>
        <item x="10"/>
        <item x="206"/>
        <item x="75"/>
        <item x="288"/>
        <item x="30"/>
        <item x="119"/>
        <item x="171"/>
        <item x="242"/>
        <item x="195"/>
        <item x="84"/>
        <item x="310"/>
        <item x="199"/>
        <item x="158"/>
        <item x="314"/>
        <item x="240"/>
        <item x="103"/>
        <item x="96"/>
        <item x="196"/>
        <item x="256"/>
        <item x="296"/>
        <item x="33"/>
        <item x="297"/>
        <item x="89"/>
        <item x="116"/>
        <item x="203"/>
        <item x="227"/>
        <item x="257"/>
        <item x="305"/>
        <item x="69"/>
        <item x="159"/>
        <item x="229"/>
        <item x="76"/>
        <item x="217"/>
        <item x="143"/>
        <item x="88"/>
        <item x="132"/>
        <item x="2"/>
        <item x="26"/>
        <item x="225"/>
        <item x="16"/>
        <item x="192"/>
        <item x="146"/>
        <item x="44"/>
        <item x="320"/>
        <item x="268"/>
        <item x="190"/>
        <item x="155"/>
        <item x="174"/>
        <item x="184"/>
        <item x="60"/>
        <item x="48"/>
        <item x="6"/>
        <item x="57"/>
        <item x="224"/>
        <item x="3"/>
        <item x="274"/>
        <item x="208"/>
        <item x="64"/>
        <item x="115"/>
        <item x="77"/>
        <item x="23"/>
        <item x="221"/>
        <item x="219"/>
        <item x="51"/>
        <item x="43"/>
        <item x="279"/>
        <item x="266"/>
        <item x="212"/>
        <item x="131"/>
        <item x="32"/>
        <item x="28"/>
        <item x="12"/>
        <item x="317"/>
        <item x="118"/>
        <item x="109"/>
        <item x="239"/>
        <item x="97"/>
        <item x="11"/>
        <item x="85"/>
        <item x="280"/>
        <item x="254"/>
        <item x="226"/>
        <item x="127"/>
        <item x="172"/>
        <item x="91"/>
        <item x="214"/>
        <item x="269"/>
        <item x="322"/>
        <item x="50"/>
        <item x="82"/>
        <item x="168"/>
        <item x="122"/>
        <item x="5"/>
        <item x="286"/>
        <item x="306"/>
        <item x="223"/>
        <item x="129"/>
        <item x="265"/>
        <item x="53"/>
        <item x="79"/>
        <item x="123"/>
        <item x="66"/>
        <item x="1"/>
        <item x="260"/>
        <item x="197"/>
        <item x="104"/>
        <item x="160"/>
        <item x="42"/>
        <item x="78"/>
        <item x="41"/>
        <item x="149"/>
        <item x="181"/>
        <item x="178"/>
        <item x="292"/>
        <item x="99"/>
        <item x="25"/>
        <item x="34"/>
        <item x="55"/>
        <item x="183"/>
        <item x="126"/>
        <item x="293"/>
        <item x="289"/>
        <item x="283"/>
        <item x="175"/>
        <item x="278"/>
        <item x="169"/>
        <item x="18"/>
        <item x="222"/>
        <item x="238"/>
        <item x="80"/>
        <item x="247"/>
        <item x="15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 sortType="descending">
      <items count="8">
        <item x="1"/>
        <item x="2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howAl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8">
    <i>
      <x v="2"/>
    </i>
    <i>
      <x v="1"/>
    </i>
    <i>
      <x v="3"/>
    </i>
    <i>
      <x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/>
    <dataField name="Sum of profit" fld="9" baseField="0" baseItem="0"/>
    <dataField name="Count of order_id" fld="0" subtotal="count" baseField="0" baseItem="0"/>
    <dataField name="Sum of quantity" fld="6" baseField="0" baseItem="0"/>
  </dataFields>
  <formats count="3">
    <format dxfId="8">
      <pivotArea field="8" type="button" dataOnly="0" labelOnly="1" outline="0" axis="axisRow" fieldPosition="0"/>
    </format>
    <format dxfId="7">
      <pivotArea dataOnly="0" labelOnly="1" fieldPosition="0">
        <references count="1">
          <reference field="8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CA070-C951-4C96-A293-68AAB256599F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16">
    <pivotField showAll="0"/>
    <pivotField showAll="0">
      <items count="325">
        <item x="213"/>
        <item x="210"/>
        <item x="243"/>
        <item x="205"/>
        <item x="117"/>
        <item x="112"/>
        <item x="86"/>
        <item x="176"/>
        <item x="234"/>
        <item x="281"/>
        <item x="108"/>
        <item x="302"/>
        <item x="151"/>
        <item x="20"/>
        <item x="136"/>
        <item x="237"/>
        <item x="313"/>
        <item x="211"/>
        <item x="251"/>
        <item x="295"/>
        <item x="113"/>
        <item x="185"/>
        <item x="154"/>
        <item x="24"/>
        <item x="22"/>
        <item x="100"/>
        <item x="236"/>
        <item x="17"/>
        <item x="94"/>
        <item x="8"/>
        <item x="70"/>
        <item x="46"/>
        <item x="120"/>
        <item x="49"/>
        <item x="177"/>
        <item x="198"/>
        <item x="125"/>
        <item x="300"/>
        <item x="323"/>
        <item x="273"/>
        <item x="180"/>
        <item x="164"/>
        <item x="298"/>
        <item x="233"/>
        <item x="304"/>
        <item x="93"/>
        <item x="7"/>
        <item x="9"/>
        <item x="244"/>
        <item x="110"/>
        <item x="163"/>
        <item x="59"/>
        <item x="150"/>
        <item x="54"/>
        <item x="106"/>
        <item x="287"/>
        <item x="15"/>
        <item x="318"/>
        <item x="14"/>
        <item x="253"/>
        <item x="114"/>
        <item x="216"/>
        <item x="102"/>
        <item x="248"/>
        <item x="319"/>
        <item x="267"/>
        <item x="161"/>
        <item x="182"/>
        <item x="276"/>
        <item x="73"/>
        <item x="191"/>
        <item x="111"/>
        <item x="308"/>
        <item x="201"/>
        <item x="29"/>
        <item x="147"/>
        <item x="303"/>
        <item x="186"/>
        <item x="165"/>
        <item x="231"/>
        <item x="145"/>
        <item x="67"/>
        <item x="261"/>
        <item x="107"/>
        <item x="209"/>
        <item x="189"/>
        <item x="21"/>
        <item x="144"/>
        <item x="252"/>
        <item x="63"/>
        <item x="162"/>
        <item x="207"/>
        <item x="166"/>
        <item x="130"/>
        <item x="321"/>
        <item x="0"/>
        <item x="232"/>
        <item x="263"/>
        <item x="241"/>
        <item x="38"/>
        <item x="272"/>
        <item x="68"/>
        <item x="218"/>
        <item x="58"/>
        <item x="95"/>
        <item x="194"/>
        <item x="40"/>
        <item x="220"/>
        <item x="311"/>
        <item x="315"/>
        <item x="56"/>
        <item x="52"/>
        <item x="270"/>
        <item x="193"/>
        <item x="36"/>
        <item x="291"/>
        <item x="19"/>
        <item x="294"/>
        <item x="259"/>
        <item x="83"/>
        <item x="246"/>
        <item x="101"/>
        <item x="275"/>
        <item x="39"/>
        <item x="215"/>
        <item x="170"/>
        <item x="249"/>
        <item x="61"/>
        <item x="87"/>
        <item x="90"/>
        <item x="35"/>
        <item x="307"/>
        <item x="134"/>
        <item x="138"/>
        <item x="37"/>
        <item x="312"/>
        <item x="235"/>
        <item x="135"/>
        <item x="290"/>
        <item x="285"/>
        <item x="128"/>
        <item x="264"/>
        <item x="245"/>
        <item x="31"/>
        <item x="121"/>
        <item x="142"/>
        <item x="200"/>
        <item x="255"/>
        <item x="27"/>
        <item x="316"/>
        <item x="299"/>
        <item x="301"/>
        <item x="250"/>
        <item x="4"/>
        <item x="284"/>
        <item x="45"/>
        <item x="81"/>
        <item x="47"/>
        <item x="271"/>
        <item x="139"/>
        <item x="173"/>
        <item x="65"/>
        <item x="228"/>
        <item x="133"/>
        <item x="71"/>
        <item x="105"/>
        <item x="74"/>
        <item x="72"/>
        <item x="13"/>
        <item x="156"/>
        <item x="277"/>
        <item x="98"/>
        <item x="157"/>
        <item x="141"/>
        <item x="148"/>
        <item x="258"/>
        <item x="137"/>
        <item x="152"/>
        <item x="92"/>
        <item x="262"/>
        <item x="62"/>
        <item x="179"/>
        <item x="202"/>
        <item x="187"/>
        <item x="188"/>
        <item x="167"/>
        <item x="140"/>
        <item x="309"/>
        <item x="124"/>
        <item x="230"/>
        <item x="282"/>
        <item x="204"/>
        <item x="10"/>
        <item x="206"/>
        <item x="75"/>
        <item x="288"/>
        <item x="30"/>
        <item x="119"/>
        <item x="171"/>
        <item x="242"/>
        <item x="195"/>
        <item x="84"/>
        <item x="310"/>
        <item x="199"/>
        <item x="158"/>
        <item x="314"/>
        <item x="240"/>
        <item x="103"/>
        <item x="96"/>
        <item x="196"/>
        <item x="256"/>
        <item x="296"/>
        <item x="33"/>
        <item x="297"/>
        <item x="89"/>
        <item x="116"/>
        <item x="203"/>
        <item x="227"/>
        <item x="257"/>
        <item x="305"/>
        <item x="69"/>
        <item x="159"/>
        <item x="229"/>
        <item x="76"/>
        <item x="217"/>
        <item x="143"/>
        <item x="88"/>
        <item x="132"/>
        <item x="2"/>
        <item x="26"/>
        <item x="225"/>
        <item x="16"/>
        <item x="192"/>
        <item x="146"/>
        <item x="44"/>
        <item x="320"/>
        <item x="268"/>
        <item x="190"/>
        <item x="155"/>
        <item x="174"/>
        <item x="184"/>
        <item x="60"/>
        <item x="48"/>
        <item x="6"/>
        <item x="57"/>
        <item x="224"/>
        <item x="3"/>
        <item x="274"/>
        <item x="208"/>
        <item x="64"/>
        <item x="115"/>
        <item x="77"/>
        <item x="23"/>
        <item x="221"/>
        <item x="219"/>
        <item x="51"/>
        <item x="43"/>
        <item x="279"/>
        <item x="266"/>
        <item x="212"/>
        <item x="131"/>
        <item x="32"/>
        <item x="28"/>
        <item x="12"/>
        <item x="317"/>
        <item x="118"/>
        <item x="109"/>
        <item x="239"/>
        <item x="97"/>
        <item x="11"/>
        <item x="85"/>
        <item x="280"/>
        <item x="254"/>
        <item x="226"/>
        <item x="127"/>
        <item x="172"/>
        <item x="91"/>
        <item x="214"/>
        <item x="269"/>
        <item x="322"/>
        <item x="50"/>
        <item x="82"/>
        <item x="168"/>
        <item x="122"/>
        <item x="5"/>
        <item x="286"/>
        <item x="306"/>
        <item x="223"/>
        <item x="129"/>
        <item x="265"/>
        <item x="53"/>
        <item x="79"/>
        <item x="123"/>
        <item x="66"/>
        <item x="1"/>
        <item x="260"/>
        <item x="197"/>
        <item x="104"/>
        <item x="160"/>
        <item x="42"/>
        <item x="78"/>
        <item x="41"/>
        <item x="149"/>
        <item x="181"/>
        <item x="178"/>
        <item x="292"/>
        <item x="99"/>
        <item x="25"/>
        <item x="34"/>
        <item x="55"/>
        <item x="183"/>
        <item x="126"/>
        <item x="293"/>
        <item x="289"/>
        <item x="283"/>
        <item x="175"/>
        <item x="278"/>
        <item x="169"/>
        <item x="18"/>
        <item x="222"/>
        <item x="238"/>
        <item x="80"/>
        <item x="247"/>
        <item x="153"/>
        <item t="default"/>
      </items>
    </pivotField>
    <pivotField showAll="0"/>
    <pivotField axis="axisRow" showAll="0">
      <items count="13">
        <item x="9"/>
        <item x="1"/>
        <item x="5"/>
        <item x="7"/>
        <item x="8"/>
        <item x="4"/>
        <item x="3"/>
        <item x="2"/>
        <item x="0"/>
        <item x="6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" fld="8" subtotal="average" baseField="0" baseItem="0" numFmtId="10"/>
    <dataField name="Sum of profit" fld="9" baseField="0" baseItem="0"/>
    <dataField name="Sum of sales" fld="7" baseField="0" baseItem="0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638B1-9DD0-4B39-ADEA-A37FDF333A10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6">
    <pivotField showAll="0"/>
    <pivotField axis="axisRow" showAll="0">
      <items count="325">
        <item x="213"/>
        <item x="210"/>
        <item x="243"/>
        <item x="205"/>
        <item x="117"/>
        <item x="112"/>
        <item x="86"/>
        <item x="176"/>
        <item x="234"/>
        <item x="281"/>
        <item x="108"/>
        <item x="302"/>
        <item x="151"/>
        <item x="20"/>
        <item x="136"/>
        <item x="237"/>
        <item x="313"/>
        <item x="211"/>
        <item x="251"/>
        <item x="295"/>
        <item x="113"/>
        <item x="185"/>
        <item x="154"/>
        <item x="24"/>
        <item x="22"/>
        <item x="100"/>
        <item x="236"/>
        <item x="17"/>
        <item x="94"/>
        <item x="8"/>
        <item x="70"/>
        <item x="46"/>
        <item x="120"/>
        <item x="49"/>
        <item x="177"/>
        <item x="198"/>
        <item x="125"/>
        <item x="300"/>
        <item x="323"/>
        <item x="273"/>
        <item x="180"/>
        <item x="164"/>
        <item x="298"/>
        <item x="233"/>
        <item x="304"/>
        <item x="93"/>
        <item x="7"/>
        <item x="9"/>
        <item x="244"/>
        <item x="110"/>
        <item x="163"/>
        <item x="59"/>
        <item x="150"/>
        <item x="54"/>
        <item x="106"/>
        <item x="287"/>
        <item x="15"/>
        <item x="318"/>
        <item x="14"/>
        <item x="253"/>
        <item x="114"/>
        <item x="216"/>
        <item x="102"/>
        <item x="248"/>
        <item x="319"/>
        <item x="267"/>
        <item x="161"/>
        <item x="182"/>
        <item x="276"/>
        <item x="73"/>
        <item x="191"/>
        <item x="111"/>
        <item x="308"/>
        <item x="201"/>
        <item x="29"/>
        <item x="147"/>
        <item x="303"/>
        <item x="186"/>
        <item x="165"/>
        <item x="231"/>
        <item x="145"/>
        <item x="67"/>
        <item x="261"/>
        <item x="107"/>
        <item x="209"/>
        <item x="189"/>
        <item x="21"/>
        <item x="144"/>
        <item x="252"/>
        <item x="63"/>
        <item x="162"/>
        <item x="207"/>
        <item x="166"/>
        <item x="130"/>
        <item x="321"/>
        <item x="0"/>
        <item x="232"/>
        <item x="263"/>
        <item x="241"/>
        <item x="38"/>
        <item x="272"/>
        <item x="68"/>
        <item x="218"/>
        <item x="58"/>
        <item x="95"/>
        <item x="194"/>
        <item x="40"/>
        <item x="220"/>
        <item x="311"/>
        <item x="315"/>
        <item x="56"/>
        <item x="52"/>
        <item x="270"/>
        <item x="193"/>
        <item x="36"/>
        <item x="291"/>
        <item x="19"/>
        <item x="294"/>
        <item x="259"/>
        <item x="83"/>
        <item x="246"/>
        <item x="101"/>
        <item x="275"/>
        <item x="39"/>
        <item x="215"/>
        <item x="170"/>
        <item x="249"/>
        <item x="61"/>
        <item x="87"/>
        <item x="90"/>
        <item x="35"/>
        <item x="307"/>
        <item x="134"/>
        <item x="138"/>
        <item x="37"/>
        <item x="312"/>
        <item x="235"/>
        <item x="135"/>
        <item x="290"/>
        <item x="285"/>
        <item x="128"/>
        <item x="264"/>
        <item x="245"/>
        <item x="31"/>
        <item x="121"/>
        <item x="142"/>
        <item x="200"/>
        <item x="255"/>
        <item x="27"/>
        <item x="316"/>
        <item x="299"/>
        <item x="301"/>
        <item x="250"/>
        <item x="4"/>
        <item x="284"/>
        <item x="45"/>
        <item x="81"/>
        <item x="47"/>
        <item x="271"/>
        <item x="139"/>
        <item x="173"/>
        <item x="65"/>
        <item x="228"/>
        <item x="133"/>
        <item x="71"/>
        <item x="105"/>
        <item x="74"/>
        <item x="72"/>
        <item x="13"/>
        <item x="156"/>
        <item x="277"/>
        <item x="98"/>
        <item x="157"/>
        <item x="141"/>
        <item x="148"/>
        <item x="258"/>
        <item x="137"/>
        <item x="152"/>
        <item x="92"/>
        <item x="262"/>
        <item x="62"/>
        <item x="179"/>
        <item x="202"/>
        <item x="187"/>
        <item x="188"/>
        <item x="167"/>
        <item x="140"/>
        <item x="309"/>
        <item x="124"/>
        <item x="230"/>
        <item x="282"/>
        <item x="204"/>
        <item x="10"/>
        <item x="206"/>
        <item x="75"/>
        <item x="288"/>
        <item x="30"/>
        <item x="119"/>
        <item x="171"/>
        <item x="242"/>
        <item x="195"/>
        <item x="84"/>
        <item x="310"/>
        <item x="199"/>
        <item x="158"/>
        <item x="314"/>
        <item x="240"/>
        <item x="103"/>
        <item x="96"/>
        <item x="196"/>
        <item x="256"/>
        <item x="296"/>
        <item x="33"/>
        <item x="297"/>
        <item x="89"/>
        <item x="116"/>
        <item x="203"/>
        <item x="227"/>
        <item x="257"/>
        <item x="305"/>
        <item x="69"/>
        <item x="159"/>
        <item x="229"/>
        <item x="76"/>
        <item x="217"/>
        <item x="143"/>
        <item x="88"/>
        <item x="132"/>
        <item x="2"/>
        <item x="26"/>
        <item x="225"/>
        <item x="16"/>
        <item x="192"/>
        <item x="146"/>
        <item x="44"/>
        <item x="320"/>
        <item x="268"/>
        <item x="190"/>
        <item x="155"/>
        <item x="174"/>
        <item x="184"/>
        <item x="60"/>
        <item x="48"/>
        <item x="6"/>
        <item x="57"/>
        <item x="224"/>
        <item x="3"/>
        <item x="274"/>
        <item x="208"/>
        <item x="64"/>
        <item x="115"/>
        <item x="77"/>
        <item x="23"/>
        <item x="221"/>
        <item x="219"/>
        <item x="51"/>
        <item x="43"/>
        <item x="279"/>
        <item x="266"/>
        <item x="212"/>
        <item x="131"/>
        <item x="32"/>
        <item x="28"/>
        <item x="12"/>
        <item x="317"/>
        <item x="118"/>
        <item x="109"/>
        <item x="239"/>
        <item x="97"/>
        <item x="11"/>
        <item x="85"/>
        <item x="280"/>
        <item x="254"/>
        <item x="226"/>
        <item x="127"/>
        <item x="172"/>
        <item x="91"/>
        <item x="214"/>
        <item x="269"/>
        <item x="322"/>
        <item x="50"/>
        <item x="82"/>
        <item x="168"/>
        <item x="122"/>
        <item x="5"/>
        <item x="286"/>
        <item x="306"/>
        <item x="223"/>
        <item x="129"/>
        <item x="265"/>
        <item x="53"/>
        <item x="79"/>
        <item x="123"/>
        <item x="66"/>
        <item x="1"/>
        <item x="260"/>
        <item x="197"/>
        <item x="104"/>
        <item x="160"/>
        <item x="42"/>
        <item x="78"/>
        <item x="41"/>
        <item x="149"/>
        <item x="181"/>
        <item x="178"/>
        <item x="292"/>
        <item x="99"/>
        <item x="25"/>
        <item x="34"/>
        <item x="55"/>
        <item x="183"/>
        <item x="126"/>
        <item x="293"/>
        <item x="289"/>
        <item x="283"/>
        <item x="175"/>
        <item x="278"/>
        <item x="169"/>
        <item x="18"/>
        <item x="222"/>
        <item x="238"/>
        <item x="80"/>
        <item x="247"/>
        <item x="15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6621D-3342-4A83-AE9F-6E6C63ED323F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O17" firstHeaderRow="1" firstDataRow="2" firstDataCol="1"/>
  <pivotFields count="16">
    <pivotField showAll="0"/>
    <pivotField showAll="0">
      <items count="325">
        <item x="213"/>
        <item x="210"/>
        <item x="243"/>
        <item x="205"/>
        <item x="117"/>
        <item x="112"/>
        <item x="86"/>
        <item x="176"/>
        <item x="234"/>
        <item x="281"/>
        <item x="108"/>
        <item x="302"/>
        <item x="151"/>
        <item x="20"/>
        <item x="136"/>
        <item x="237"/>
        <item x="313"/>
        <item x="211"/>
        <item x="251"/>
        <item x="295"/>
        <item x="113"/>
        <item x="185"/>
        <item x="154"/>
        <item x="24"/>
        <item x="22"/>
        <item x="100"/>
        <item x="236"/>
        <item x="17"/>
        <item x="94"/>
        <item x="8"/>
        <item x="70"/>
        <item x="46"/>
        <item x="120"/>
        <item x="49"/>
        <item x="177"/>
        <item x="198"/>
        <item x="125"/>
        <item x="300"/>
        <item x="323"/>
        <item x="273"/>
        <item x="180"/>
        <item x="164"/>
        <item x="298"/>
        <item x="233"/>
        <item x="304"/>
        <item x="93"/>
        <item x="7"/>
        <item x="9"/>
        <item x="244"/>
        <item x="110"/>
        <item x="163"/>
        <item x="59"/>
        <item x="150"/>
        <item x="54"/>
        <item x="106"/>
        <item x="287"/>
        <item x="15"/>
        <item x="318"/>
        <item x="14"/>
        <item x="253"/>
        <item x="114"/>
        <item x="216"/>
        <item x="102"/>
        <item x="248"/>
        <item x="319"/>
        <item x="267"/>
        <item x="161"/>
        <item x="182"/>
        <item x="276"/>
        <item x="73"/>
        <item x="191"/>
        <item x="111"/>
        <item x="308"/>
        <item x="201"/>
        <item x="29"/>
        <item x="147"/>
        <item x="303"/>
        <item x="186"/>
        <item x="165"/>
        <item x="231"/>
        <item x="145"/>
        <item x="67"/>
        <item x="261"/>
        <item x="107"/>
        <item x="209"/>
        <item x="189"/>
        <item x="21"/>
        <item x="144"/>
        <item x="252"/>
        <item x="63"/>
        <item x="162"/>
        <item x="207"/>
        <item x="166"/>
        <item x="130"/>
        <item x="321"/>
        <item x="0"/>
        <item x="232"/>
        <item x="263"/>
        <item x="241"/>
        <item x="38"/>
        <item x="272"/>
        <item x="68"/>
        <item x="218"/>
        <item x="58"/>
        <item x="95"/>
        <item x="194"/>
        <item x="40"/>
        <item x="220"/>
        <item x="311"/>
        <item x="315"/>
        <item x="56"/>
        <item x="52"/>
        <item x="270"/>
        <item x="193"/>
        <item x="36"/>
        <item x="291"/>
        <item x="19"/>
        <item x="294"/>
        <item x="259"/>
        <item x="83"/>
        <item x="246"/>
        <item x="101"/>
        <item x="275"/>
        <item x="39"/>
        <item x="215"/>
        <item x="170"/>
        <item x="249"/>
        <item x="61"/>
        <item x="87"/>
        <item x="90"/>
        <item x="35"/>
        <item x="307"/>
        <item x="134"/>
        <item x="138"/>
        <item x="37"/>
        <item x="312"/>
        <item x="235"/>
        <item x="135"/>
        <item x="290"/>
        <item x="285"/>
        <item x="128"/>
        <item x="264"/>
        <item x="245"/>
        <item x="31"/>
        <item x="121"/>
        <item x="142"/>
        <item x="200"/>
        <item x="255"/>
        <item x="27"/>
        <item x="316"/>
        <item x="299"/>
        <item x="301"/>
        <item x="250"/>
        <item x="4"/>
        <item x="284"/>
        <item x="45"/>
        <item x="81"/>
        <item x="47"/>
        <item x="271"/>
        <item x="139"/>
        <item x="173"/>
        <item x="65"/>
        <item x="228"/>
        <item x="133"/>
        <item x="71"/>
        <item x="105"/>
        <item x="74"/>
        <item x="72"/>
        <item x="13"/>
        <item x="156"/>
        <item x="277"/>
        <item x="98"/>
        <item x="157"/>
        <item x="141"/>
        <item x="148"/>
        <item x="258"/>
        <item x="137"/>
        <item x="152"/>
        <item x="92"/>
        <item x="262"/>
        <item x="62"/>
        <item x="179"/>
        <item x="202"/>
        <item x="187"/>
        <item x="188"/>
        <item x="167"/>
        <item x="140"/>
        <item x="309"/>
        <item x="124"/>
        <item x="230"/>
        <item x="282"/>
        <item x="204"/>
        <item x="10"/>
        <item x="206"/>
        <item x="75"/>
        <item x="288"/>
        <item x="30"/>
        <item x="119"/>
        <item x="171"/>
        <item x="242"/>
        <item x="195"/>
        <item x="84"/>
        <item x="310"/>
        <item x="199"/>
        <item x="158"/>
        <item x="314"/>
        <item x="240"/>
        <item x="103"/>
        <item x="96"/>
        <item x="196"/>
        <item x="256"/>
        <item x="296"/>
        <item x="33"/>
        <item x="297"/>
        <item x="89"/>
        <item x="116"/>
        <item x="203"/>
        <item x="227"/>
        <item x="257"/>
        <item x="305"/>
        <item x="69"/>
        <item x="159"/>
        <item x="229"/>
        <item x="76"/>
        <item x="217"/>
        <item x="143"/>
        <item x="88"/>
        <item x="132"/>
        <item x="2"/>
        <item x="26"/>
        <item x="225"/>
        <item x="16"/>
        <item x="192"/>
        <item x="146"/>
        <item x="44"/>
        <item x="320"/>
        <item x="268"/>
        <item x="190"/>
        <item x="155"/>
        <item x="174"/>
        <item x="184"/>
        <item x="60"/>
        <item x="48"/>
        <item x="6"/>
        <item x="57"/>
        <item x="224"/>
        <item x="3"/>
        <item x="274"/>
        <item x="208"/>
        <item x="64"/>
        <item x="115"/>
        <item x="77"/>
        <item x="23"/>
        <item x="221"/>
        <item x="219"/>
        <item x="51"/>
        <item x="43"/>
        <item x="279"/>
        <item x="266"/>
        <item x="212"/>
        <item x="131"/>
        <item x="32"/>
        <item x="28"/>
        <item x="12"/>
        <item x="317"/>
        <item x="118"/>
        <item x="109"/>
        <item x="239"/>
        <item x="97"/>
        <item x="11"/>
        <item x="85"/>
        <item x="280"/>
        <item x="254"/>
        <item x="226"/>
        <item x="127"/>
        <item x="172"/>
        <item x="91"/>
        <item x="214"/>
        <item x="269"/>
        <item x="322"/>
        <item x="50"/>
        <item x="82"/>
        <item x="168"/>
        <item x="122"/>
        <item x="5"/>
        <item x="286"/>
        <item x="306"/>
        <item x="223"/>
        <item x="129"/>
        <item x="265"/>
        <item x="53"/>
        <item x="79"/>
        <item x="123"/>
        <item x="66"/>
        <item x="1"/>
        <item x="260"/>
        <item x="197"/>
        <item x="104"/>
        <item x="160"/>
        <item x="42"/>
        <item x="78"/>
        <item x="41"/>
        <item x="149"/>
        <item x="181"/>
        <item x="178"/>
        <item x="292"/>
        <item x="99"/>
        <item x="25"/>
        <item x="34"/>
        <item x="55"/>
        <item x="183"/>
        <item x="126"/>
        <item x="293"/>
        <item x="289"/>
        <item x="283"/>
        <item x="175"/>
        <item x="278"/>
        <item x="169"/>
        <item x="18"/>
        <item x="222"/>
        <item x="238"/>
        <item x="80"/>
        <item x="247"/>
        <item x="153"/>
        <item t="default"/>
      </items>
    </pivotField>
    <pivotField showAll="0"/>
    <pivotField axis="axisRow" showAll="0">
      <items count="13">
        <item x="9"/>
        <item x="1"/>
        <item x="5"/>
        <item x="7"/>
        <item x="8"/>
        <item x="4"/>
        <item x="3"/>
        <item x="2"/>
        <item x="0"/>
        <item x="6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0B1F1-A4DF-4D70-A6EA-295C88A5CAE7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7" firstHeaderRow="0" firstDataRow="1" firstDataCol="1"/>
  <pivotFields count="16">
    <pivotField dataField="1" showAll="0"/>
    <pivotField showAll="0">
      <items count="325">
        <item x="213"/>
        <item x="210"/>
        <item x="243"/>
        <item x="205"/>
        <item x="117"/>
        <item x="112"/>
        <item x="86"/>
        <item x="176"/>
        <item x="234"/>
        <item x="281"/>
        <item x="108"/>
        <item x="302"/>
        <item x="151"/>
        <item x="20"/>
        <item x="136"/>
        <item x="237"/>
        <item x="313"/>
        <item x="211"/>
        <item x="251"/>
        <item x="295"/>
        <item x="113"/>
        <item x="185"/>
        <item x="154"/>
        <item x="24"/>
        <item x="22"/>
        <item x="100"/>
        <item x="236"/>
        <item x="17"/>
        <item x="94"/>
        <item x="8"/>
        <item x="70"/>
        <item x="46"/>
        <item x="120"/>
        <item x="49"/>
        <item x="177"/>
        <item x="198"/>
        <item x="125"/>
        <item x="300"/>
        <item x="323"/>
        <item x="273"/>
        <item x="180"/>
        <item x="164"/>
        <item x="298"/>
        <item x="233"/>
        <item x="304"/>
        <item x="93"/>
        <item x="7"/>
        <item x="9"/>
        <item x="244"/>
        <item x="110"/>
        <item x="163"/>
        <item x="59"/>
        <item x="150"/>
        <item x="54"/>
        <item x="106"/>
        <item x="287"/>
        <item x="15"/>
        <item x="318"/>
        <item x="14"/>
        <item x="253"/>
        <item x="114"/>
        <item x="216"/>
        <item x="102"/>
        <item x="248"/>
        <item x="319"/>
        <item x="267"/>
        <item x="161"/>
        <item x="182"/>
        <item x="276"/>
        <item x="73"/>
        <item x="191"/>
        <item x="111"/>
        <item x="308"/>
        <item x="201"/>
        <item x="29"/>
        <item x="147"/>
        <item x="303"/>
        <item x="186"/>
        <item x="165"/>
        <item x="231"/>
        <item x="145"/>
        <item x="67"/>
        <item x="261"/>
        <item x="107"/>
        <item x="209"/>
        <item x="189"/>
        <item x="21"/>
        <item x="144"/>
        <item x="252"/>
        <item x="63"/>
        <item x="162"/>
        <item x="207"/>
        <item x="166"/>
        <item x="130"/>
        <item x="321"/>
        <item x="0"/>
        <item x="232"/>
        <item x="263"/>
        <item x="241"/>
        <item x="38"/>
        <item x="272"/>
        <item x="68"/>
        <item x="218"/>
        <item x="58"/>
        <item x="95"/>
        <item x="194"/>
        <item x="40"/>
        <item x="220"/>
        <item x="311"/>
        <item x="315"/>
        <item x="56"/>
        <item x="52"/>
        <item x="270"/>
        <item x="193"/>
        <item x="36"/>
        <item x="291"/>
        <item x="19"/>
        <item x="294"/>
        <item x="259"/>
        <item x="83"/>
        <item x="246"/>
        <item x="101"/>
        <item x="275"/>
        <item x="39"/>
        <item x="215"/>
        <item x="170"/>
        <item x="249"/>
        <item x="61"/>
        <item x="87"/>
        <item x="90"/>
        <item x="35"/>
        <item x="307"/>
        <item x="134"/>
        <item x="138"/>
        <item x="37"/>
        <item x="312"/>
        <item x="235"/>
        <item x="135"/>
        <item x="290"/>
        <item x="285"/>
        <item x="128"/>
        <item x="264"/>
        <item x="245"/>
        <item x="31"/>
        <item x="121"/>
        <item x="142"/>
        <item x="200"/>
        <item x="255"/>
        <item x="27"/>
        <item x="316"/>
        <item x="299"/>
        <item x="301"/>
        <item x="250"/>
        <item x="4"/>
        <item x="284"/>
        <item x="45"/>
        <item x="81"/>
        <item x="47"/>
        <item x="271"/>
        <item x="139"/>
        <item x="173"/>
        <item x="65"/>
        <item x="228"/>
        <item x="133"/>
        <item x="71"/>
        <item x="105"/>
        <item x="74"/>
        <item x="72"/>
        <item x="13"/>
        <item x="156"/>
        <item x="277"/>
        <item x="98"/>
        <item x="157"/>
        <item x="141"/>
        <item x="148"/>
        <item x="258"/>
        <item x="137"/>
        <item x="152"/>
        <item x="92"/>
        <item x="262"/>
        <item x="62"/>
        <item x="179"/>
        <item x="202"/>
        <item x="187"/>
        <item x="188"/>
        <item x="167"/>
        <item x="140"/>
        <item x="309"/>
        <item x="124"/>
        <item x="230"/>
        <item x="282"/>
        <item x="204"/>
        <item x="10"/>
        <item x="206"/>
        <item x="75"/>
        <item x="288"/>
        <item x="30"/>
        <item x="119"/>
        <item x="171"/>
        <item x="242"/>
        <item x="195"/>
        <item x="84"/>
        <item x="310"/>
        <item x="199"/>
        <item x="158"/>
        <item x="314"/>
        <item x="240"/>
        <item x="103"/>
        <item x="96"/>
        <item x="196"/>
        <item x="256"/>
        <item x="296"/>
        <item x="33"/>
        <item x="297"/>
        <item x="89"/>
        <item x="116"/>
        <item x="203"/>
        <item x="227"/>
        <item x="257"/>
        <item x="305"/>
        <item x="69"/>
        <item x="159"/>
        <item x="229"/>
        <item x="76"/>
        <item x="217"/>
        <item x="143"/>
        <item x="88"/>
        <item x="132"/>
        <item x="2"/>
        <item x="26"/>
        <item x="225"/>
        <item x="16"/>
        <item x="192"/>
        <item x="146"/>
        <item x="44"/>
        <item x="320"/>
        <item x="268"/>
        <item x="190"/>
        <item x="155"/>
        <item x="174"/>
        <item x="184"/>
        <item x="60"/>
        <item x="48"/>
        <item x="6"/>
        <item x="57"/>
        <item x="224"/>
        <item x="3"/>
        <item x="274"/>
        <item x="208"/>
        <item x="64"/>
        <item x="115"/>
        <item x="77"/>
        <item x="23"/>
        <item x="221"/>
        <item x="219"/>
        <item x="51"/>
        <item x="43"/>
        <item x="279"/>
        <item x="266"/>
        <item x="212"/>
        <item x="131"/>
        <item x="32"/>
        <item x="28"/>
        <item x="12"/>
        <item x="317"/>
        <item x="118"/>
        <item x="109"/>
        <item x="239"/>
        <item x="97"/>
        <item x="11"/>
        <item x="85"/>
        <item x="280"/>
        <item x="254"/>
        <item x="226"/>
        <item x="127"/>
        <item x="172"/>
        <item x="91"/>
        <item x="214"/>
        <item x="269"/>
        <item x="322"/>
        <item x="50"/>
        <item x="82"/>
        <item x="168"/>
        <item x="122"/>
        <item x="5"/>
        <item x="286"/>
        <item x="306"/>
        <item x="223"/>
        <item x="129"/>
        <item x="265"/>
        <item x="53"/>
        <item x="79"/>
        <item x="123"/>
        <item x="66"/>
        <item x="1"/>
        <item x="260"/>
        <item x="197"/>
        <item x="104"/>
        <item x="160"/>
        <item x="42"/>
        <item x="78"/>
        <item x="41"/>
        <item x="149"/>
        <item x="181"/>
        <item x="178"/>
        <item x="292"/>
        <item x="99"/>
        <item x="25"/>
        <item x="34"/>
        <item x="55"/>
        <item x="183"/>
        <item x="126"/>
        <item x="293"/>
        <item x="289"/>
        <item x="283"/>
        <item x="175"/>
        <item x="278"/>
        <item x="169"/>
        <item x="18"/>
        <item x="222"/>
        <item x="238"/>
        <item x="80"/>
        <item x="247"/>
        <item x="153"/>
        <item t="default"/>
      </items>
    </pivotField>
    <pivotField axis="axisRow" showAll="0" sortType="descending">
      <items count="153">
        <item sd="0" x="17"/>
        <item sd="0" x="110"/>
        <item sd="0" x="29"/>
        <item sd="0" x="81"/>
        <item sd="0" x="98"/>
        <item sd="0" x="79"/>
        <item sd="0" x="67"/>
        <item sd="0" x="109"/>
        <item sd="0" x="65"/>
        <item sd="0" x="138"/>
        <item sd="0" x="77"/>
        <item sd="0" x="133"/>
        <item sd="0" x="63"/>
        <item sd="0" x="73"/>
        <item sd="0" x="3"/>
        <item sd="0" x="74"/>
        <item sd="0" x="118"/>
        <item sd="0" x="44"/>
        <item sd="0" x="64"/>
        <item sd="0" x="95"/>
        <item sd="0" x="126"/>
        <item sd="0" x="113"/>
        <item sd="0" x="99"/>
        <item sd="0" x="27"/>
        <item sd="0" x="88"/>
        <item sd="0" x="46"/>
        <item sd="0" x="40"/>
        <item sd="0" x="75"/>
        <item sd="0" x="102"/>
        <item sd="0" x="143"/>
        <item sd="0" x="94"/>
        <item sd="0" x="116"/>
        <item sd="0" x="149"/>
        <item sd="0" x="56"/>
        <item sd="0" x="16"/>
        <item sd="0" x="19"/>
        <item sd="0" x="34"/>
        <item sd="0" x="84"/>
        <item sd="0" x="31"/>
        <item sd="0" x="114"/>
        <item sd="0" x="14"/>
        <item sd="0" x="32"/>
        <item sd="0" x="59"/>
        <item sd="0" x="9"/>
        <item sd="0" x="69"/>
        <item sd="0" x="43"/>
        <item sd="0" x="50"/>
        <item sd="0" x="15"/>
        <item sd="0" x="107"/>
        <item sd="0" x="131"/>
        <item sd="0" x="24"/>
        <item sd="0" x="85"/>
        <item sd="0" x="104"/>
        <item sd="0" x="37"/>
        <item sd="0" x="108"/>
        <item sd="0" x="139"/>
        <item sd="0" x="103"/>
        <item sd="0" x="2"/>
        <item sd="0" x="117"/>
        <item sd="0" x="33"/>
        <item sd="0" x="89"/>
        <item sd="0" x="52"/>
        <item sd="0" x="121"/>
        <item sd="0" x="92"/>
        <item sd="0" x="141"/>
        <item sd="0" x="20"/>
        <item sd="0" x="137"/>
        <item sd="0" x="26"/>
        <item sd="0" x="54"/>
        <item sd="0" x="129"/>
        <item sd="0" x="147"/>
        <item sd="0" x="0"/>
        <item sd="0" x="90"/>
        <item sd="0" x="150"/>
        <item sd="0" x="60"/>
        <item sd="0" x="101"/>
        <item sd="0" x="125"/>
        <item sd="0" x="97"/>
        <item sd="0" x="127"/>
        <item sd="0" x="57"/>
        <item sd="0" x="7"/>
        <item sd="0" x="10"/>
        <item sd="0" x="80"/>
        <item sd="0" x="58"/>
        <item sd="0" x="83"/>
        <item sd="0" x="48"/>
        <item sd="0" x="128"/>
        <item sd="0" x="1"/>
        <item sd="0" x="12"/>
        <item sd="0" x="18"/>
        <item sd="0" x="70"/>
        <item sd="0" x="51"/>
        <item sd="0" x="130"/>
        <item sd="0" x="91"/>
        <item sd="0" x="87"/>
        <item sd="0" x="62"/>
        <item sd="0" x="122"/>
        <item sd="0" x="78"/>
        <item sd="0" x="132"/>
        <item sd="0" x="123"/>
        <item sd="0" x="55"/>
        <item sd="0" x="136"/>
        <item sd="0" x="23"/>
        <item sd="0" x="45"/>
        <item sd="0" x="146"/>
        <item sd="0" x="8"/>
        <item sd="0" x="124"/>
        <item sd="0" x="21"/>
        <item sd="0" x="76"/>
        <item sd="0" x="140"/>
        <item sd="0" x="41"/>
        <item sd="0" x="36"/>
        <item sd="0" x="25"/>
        <item sd="0" x="106"/>
        <item sd="0" x="39"/>
        <item sd="0" x="35"/>
        <item sd="0" x="66"/>
        <item sd="0" x="100"/>
        <item sd="0" x="111"/>
        <item sd="0" x="120"/>
        <item sd="0" x="93"/>
        <item sd="0" x="53"/>
        <item sd="0" x="119"/>
        <item sd="0" x="11"/>
        <item sd="0" x="135"/>
        <item sd="0" x="148"/>
        <item sd="0" x="72"/>
        <item sd="0" x="105"/>
        <item sd="0" x="22"/>
        <item sd="0" x="6"/>
        <item sd="0" x="4"/>
        <item sd="0" x="5"/>
        <item sd="0" x="82"/>
        <item sd="0" x="96"/>
        <item sd="0" x="47"/>
        <item sd="0" x="68"/>
        <item sd="0" x="112"/>
        <item sd="0" x="61"/>
        <item sd="0" x="13"/>
        <item sd="0" x="145"/>
        <item sd="0" x="71"/>
        <item sd="0" x="38"/>
        <item sd="0" x="115"/>
        <item sd="0" x="28"/>
        <item sd="0" x="86"/>
        <item sd="0" x="142"/>
        <item sd="0" x="42"/>
        <item sd="0" x="30"/>
        <item sd="0" x="134"/>
        <item sd="0" x="49"/>
        <item sd="0" x="144"/>
        <item x="1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dataField="1"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dragToRow="0" dragToCol="0" dragToPage="0" showAll="0" defaultSubtotal="0"/>
    <pivotField dragToRow="0" dragToCol="0" dragToPage="0" showAll="0" defaultSubtotal="0"/>
  </pivotFields>
  <rowFields count="2">
    <field x="2"/>
    <field x="4"/>
  </rowFields>
  <rowItems count="154">
    <i>
      <x v="112"/>
    </i>
    <i>
      <x v="115"/>
    </i>
    <i>
      <x v="14"/>
    </i>
    <i>
      <x v="37"/>
    </i>
    <i>
      <x v="85"/>
    </i>
    <i>
      <x v="148"/>
    </i>
    <i>
      <x v="63"/>
    </i>
    <i>
      <x v="143"/>
    </i>
    <i>
      <x v="113"/>
    </i>
    <i>
      <x v="118"/>
    </i>
    <i>
      <x v="50"/>
    </i>
    <i>
      <x v="103"/>
    </i>
    <i>
      <x v="40"/>
    </i>
    <i>
      <x v="21"/>
    </i>
    <i>
      <x v="140"/>
    </i>
    <i>
      <x v="18"/>
    </i>
    <i>
      <x v="16"/>
    </i>
    <i>
      <x v="52"/>
    </i>
    <i>
      <x v="10"/>
    </i>
    <i>
      <x v="144"/>
    </i>
    <i>
      <x v="33"/>
    </i>
    <i>
      <x v="61"/>
    </i>
    <i>
      <x v="11"/>
    </i>
    <i>
      <x v="108"/>
    </i>
    <i>
      <x v="146"/>
    </i>
    <i>
      <x v="51"/>
    </i>
    <i>
      <x v="46"/>
    </i>
    <i>
      <x v="100"/>
    </i>
    <i>
      <x v="44"/>
    </i>
    <i>
      <x v="124"/>
    </i>
    <i>
      <x v="47"/>
    </i>
    <i>
      <x v="78"/>
    </i>
    <i>
      <x v="8"/>
    </i>
    <i>
      <x v="119"/>
    </i>
    <i>
      <x v="75"/>
    </i>
    <i>
      <x v="35"/>
    </i>
    <i>
      <x v="79"/>
    </i>
    <i>
      <x v="56"/>
    </i>
    <i>
      <x v="6"/>
    </i>
    <i>
      <x v="127"/>
    </i>
    <i>
      <x v="110"/>
    </i>
    <i>
      <x v="53"/>
    </i>
    <i>
      <x v="45"/>
    </i>
    <i>
      <x v="84"/>
    </i>
    <i>
      <x v="54"/>
    </i>
    <i>
      <x v="72"/>
    </i>
    <i>
      <x v="7"/>
    </i>
    <i>
      <x v="133"/>
    </i>
    <i>
      <x v="4"/>
    </i>
    <i>
      <x v="83"/>
    </i>
    <i>
      <x v="114"/>
    </i>
    <i>
      <x v="137"/>
    </i>
    <i>
      <x v="96"/>
    </i>
    <i>
      <x v="99"/>
    </i>
    <i>
      <x v="77"/>
    </i>
    <i>
      <x v="65"/>
    </i>
    <i>
      <x v="67"/>
    </i>
    <i>
      <x v="97"/>
    </i>
    <i>
      <x v="28"/>
    </i>
    <i>
      <x v="111"/>
    </i>
    <i>
      <x v="60"/>
    </i>
    <i>
      <x v="145"/>
    </i>
    <i>
      <x v="49"/>
    </i>
    <i>
      <x v="36"/>
    </i>
    <i>
      <x v="64"/>
    </i>
    <i>
      <x v="128"/>
    </i>
    <i>
      <x v="129"/>
    </i>
    <i>
      <x v="98"/>
    </i>
    <i>
      <x v="105"/>
    </i>
    <i>
      <x v="71"/>
    </i>
    <i>
      <x v="94"/>
    </i>
    <i>
      <x v="87"/>
    </i>
    <i>
      <x v="42"/>
    </i>
    <i>
      <x v="93"/>
    </i>
    <i>
      <x v="22"/>
    </i>
    <i>
      <x v="58"/>
    </i>
    <i>
      <x v="55"/>
    </i>
    <i>
      <x v="80"/>
    </i>
    <i>
      <x v="31"/>
    </i>
    <i>
      <x v="3"/>
    </i>
    <i>
      <x v="130"/>
    </i>
    <i>
      <x v="136"/>
    </i>
    <i>
      <x v="131"/>
    </i>
    <i>
      <x v="135"/>
    </i>
    <i>
      <x v="107"/>
    </i>
    <i>
      <x v="12"/>
    </i>
    <i>
      <x v="23"/>
    </i>
    <i>
      <x v="57"/>
    </i>
    <i>
      <x v="62"/>
    </i>
    <i>
      <x v="25"/>
    </i>
    <i>
      <x v="74"/>
    </i>
    <i>
      <x v="20"/>
    </i>
    <i>
      <x v="91"/>
    </i>
    <i>
      <x v="81"/>
    </i>
    <i>
      <x v="117"/>
    </i>
    <i>
      <x v="41"/>
    </i>
    <i>
      <x v="147"/>
    </i>
    <i>
      <x v="132"/>
    </i>
    <i>
      <x v="88"/>
    </i>
    <i>
      <x v="68"/>
    </i>
    <i>
      <x v="82"/>
    </i>
    <i>
      <x v="121"/>
    </i>
    <i>
      <x v="59"/>
    </i>
    <i>
      <x v="24"/>
    </i>
    <i>
      <x v="138"/>
    </i>
    <i>
      <x v="89"/>
    </i>
    <i>
      <x v="9"/>
    </i>
    <i>
      <x v="19"/>
    </i>
    <i>
      <x v="116"/>
    </i>
    <i>
      <x v="149"/>
    </i>
    <i>
      <x v="2"/>
    </i>
    <i>
      <x v="141"/>
    </i>
    <i>
      <x v="102"/>
    </i>
    <i>
      <x/>
    </i>
    <i>
      <x v="34"/>
    </i>
    <i>
      <x v="32"/>
    </i>
    <i>
      <x v="70"/>
    </i>
    <i>
      <x v="69"/>
    </i>
    <i>
      <x v="126"/>
    </i>
    <i>
      <x v="17"/>
    </i>
    <i>
      <x v="134"/>
    </i>
    <i>
      <x v="15"/>
    </i>
    <i>
      <x v="86"/>
    </i>
    <i>
      <x v="109"/>
    </i>
    <i>
      <x v="48"/>
    </i>
    <i>
      <x v="95"/>
    </i>
    <i>
      <x v="106"/>
    </i>
    <i>
      <x v="27"/>
    </i>
    <i>
      <x v="30"/>
    </i>
    <i>
      <x v="92"/>
    </i>
    <i>
      <x v="125"/>
    </i>
    <i>
      <x v="43"/>
    </i>
    <i>
      <x v="90"/>
    </i>
    <i>
      <x v="123"/>
    </i>
    <i>
      <x v="142"/>
    </i>
    <i>
      <x v="104"/>
    </i>
    <i>
      <x v="1"/>
    </i>
    <i>
      <x v="150"/>
    </i>
    <i>
      <x v="39"/>
    </i>
    <i>
      <x v="13"/>
    </i>
    <i>
      <x v="26"/>
    </i>
    <i>
      <x v="29"/>
    </i>
    <i>
      <x v="38"/>
    </i>
    <i>
      <x v="66"/>
    </i>
    <i>
      <x v="5"/>
    </i>
    <i>
      <x v="101"/>
    </i>
    <i>
      <x v="76"/>
    </i>
    <i>
      <x v="120"/>
    </i>
    <i>
      <x v="139"/>
    </i>
    <i>
      <x v="73"/>
    </i>
    <i>
      <x v="122"/>
    </i>
    <i>
      <x v="151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/>
    <dataField name="Sum of profit" fld="9" baseField="0" baseItem="0"/>
    <dataField name="Count of order_id" fld="0" subtotal="count" baseField="0" baseItem="0"/>
    <dataField name="Sum of customer profit margine" fld="14" baseField="0" baseItem="0" numFmtId="10"/>
  </dataFields>
  <formats count="2"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8663-A706-40AA-8078-C50F50D8639B}">
  <dimension ref="A3:D16"/>
  <sheetViews>
    <sheetView workbookViewId="0">
      <selection activeCell="G20" sqref="G20"/>
    </sheetView>
  </sheetViews>
  <sheetFormatPr defaultRowHeight="14.4" x14ac:dyDescent="0.3"/>
  <cols>
    <col min="1" max="1" width="12.5546875" bestFit="1" customWidth="1"/>
    <col min="2" max="2" width="11.44140625" bestFit="1" customWidth="1"/>
    <col min="3" max="3" width="12.109375" bestFit="1" customWidth="1"/>
    <col min="4" max="4" width="18.6640625" bestFit="1" customWidth="1"/>
  </cols>
  <sheetData>
    <row r="3" spans="1:4" x14ac:dyDescent="0.3">
      <c r="A3" s="4" t="s">
        <v>181</v>
      </c>
      <c r="B3" t="s">
        <v>184</v>
      </c>
      <c r="C3" t="s">
        <v>185</v>
      </c>
      <c r="D3" s="3" t="s">
        <v>186</v>
      </c>
    </row>
    <row r="4" spans="1:4" x14ac:dyDescent="0.3">
      <c r="A4" s="5" t="s">
        <v>52</v>
      </c>
      <c r="B4" s="2">
        <v>340380</v>
      </c>
      <c r="C4" s="2">
        <v>87660</v>
      </c>
      <c r="D4" s="3">
        <v>0.25753569539925963</v>
      </c>
    </row>
    <row r="5" spans="1:4" x14ac:dyDescent="0.3">
      <c r="A5" s="5" t="s">
        <v>15</v>
      </c>
      <c r="B5" s="2">
        <v>3626250</v>
      </c>
      <c r="C5" s="2">
        <v>753450</v>
      </c>
      <c r="D5" s="3">
        <v>0.20777662874870734</v>
      </c>
    </row>
    <row r="6" spans="1:4" x14ac:dyDescent="0.3">
      <c r="A6" s="5" t="s">
        <v>26</v>
      </c>
      <c r="B6" s="2">
        <v>1013850</v>
      </c>
      <c r="C6" s="2">
        <v>87660</v>
      </c>
      <c r="D6" s="3">
        <v>8.6462494451841995E-2</v>
      </c>
    </row>
    <row r="7" spans="1:4" x14ac:dyDescent="0.3">
      <c r="A7" s="5" t="s">
        <v>34</v>
      </c>
      <c r="B7" s="2">
        <v>455070</v>
      </c>
      <c r="C7" s="2">
        <v>120450</v>
      </c>
      <c r="D7" s="3">
        <v>0.26468455402465557</v>
      </c>
    </row>
    <row r="8" spans="1:4" x14ac:dyDescent="0.3">
      <c r="A8" s="5" t="s">
        <v>41</v>
      </c>
      <c r="B8" s="2">
        <v>15309250</v>
      </c>
      <c r="C8" s="2">
        <v>1283150</v>
      </c>
      <c r="D8" s="3">
        <v>8.3815340398778512E-2</v>
      </c>
    </row>
    <row r="9" spans="1:4" x14ac:dyDescent="0.3">
      <c r="A9" s="5" t="s">
        <v>23</v>
      </c>
      <c r="B9" s="2">
        <v>205140</v>
      </c>
      <c r="C9" s="2">
        <v>56940</v>
      </c>
      <c r="D9" s="3">
        <v>0.27756653992395436</v>
      </c>
    </row>
    <row r="10" spans="1:4" x14ac:dyDescent="0.3">
      <c r="A10" s="5" t="s">
        <v>20</v>
      </c>
      <c r="B10" s="2">
        <v>51950</v>
      </c>
      <c r="C10" s="2">
        <v>20462.5</v>
      </c>
      <c r="D10" s="3">
        <v>0.39388835418671797</v>
      </c>
    </row>
    <row r="11" spans="1:4" x14ac:dyDescent="0.3">
      <c r="A11" s="5" t="s">
        <v>17</v>
      </c>
      <c r="B11" s="2">
        <v>2445600</v>
      </c>
      <c r="C11" s="2">
        <v>501600</v>
      </c>
      <c r="D11" s="3">
        <v>0.20510304219823355</v>
      </c>
    </row>
    <row r="12" spans="1:4" x14ac:dyDescent="0.3">
      <c r="A12" s="5" t="s">
        <v>11</v>
      </c>
      <c r="B12" s="2">
        <v>38214</v>
      </c>
      <c r="C12" s="2">
        <v>14850</v>
      </c>
      <c r="D12" s="3">
        <v>0.38860103626943004</v>
      </c>
    </row>
    <row r="13" spans="1:4" x14ac:dyDescent="0.3">
      <c r="A13" s="5" t="s">
        <v>30</v>
      </c>
      <c r="B13" s="2">
        <v>5622000</v>
      </c>
      <c r="C13" s="2">
        <v>480600</v>
      </c>
      <c r="D13" s="3">
        <v>8.5485592315901818E-2</v>
      </c>
    </row>
    <row r="14" spans="1:4" x14ac:dyDescent="0.3">
      <c r="A14" s="5" t="s">
        <v>180</v>
      </c>
      <c r="B14" s="2">
        <v>148500</v>
      </c>
      <c r="C14" s="2">
        <v>13200</v>
      </c>
      <c r="D14" s="3">
        <v>8.8888888888888892E-2</v>
      </c>
    </row>
    <row r="15" spans="1:4" x14ac:dyDescent="0.3">
      <c r="A15" s="5" t="s">
        <v>182</v>
      </c>
      <c r="B15" s="2"/>
      <c r="C15" s="2"/>
      <c r="D15" s="3" t="e">
        <v>#DIV/0!</v>
      </c>
    </row>
    <row r="16" spans="1:4" x14ac:dyDescent="0.3">
      <c r="A16" s="5" t="s">
        <v>183</v>
      </c>
      <c r="B16" s="2">
        <v>29256204</v>
      </c>
      <c r="C16" s="2">
        <v>3420022.5</v>
      </c>
      <c r="D16" s="3">
        <v>0.116899051565268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C3A4-E720-46C4-812F-39B366D871FC}">
  <dimension ref="A3:F9"/>
  <sheetViews>
    <sheetView topLeftCell="B1" workbookViewId="0">
      <selection activeCell="F15" sqref="F15"/>
    </sheetView>
  </sheetViews>
  <sheetFormatPr defaultRowHeight="14.4" x14ac:dyDescent="0.3"/>
  <cols>
    <col min="1" max="1" width="12.5546875" bestFit="1" customWidth="1"/>
    <col min="2" max="2" width="11.44140625" bestFit="1" customWidth="1"/>
    <col min="3" max="3" width="12.109375" bestFit="1" customWidth="1"/>
    <col min="4" max="4" width="14.6640625" bestFit="1" customWidth="1"/>
    <col min="5" max="5" width="16" bestFit="1" customWidth="1"/>
    <col min="6" max="6" width="19.6640625" style="3" bestFit="1" customWidth="1"/>
    <col min="7" max="10" width="6" bestFit="1" customWidth="1"/>
    <col min="11" max="11" width="7" bestFit="1" customWidth="1"/>
    <col min="12" max="17" width="6" bestFit="1" customWidth="1"/>
    <col min="18" max="18" width="7" bestFit="1" customWidth="1"/>
    <col min="19" max="31" width="6" bestFit="1" customWidth="1"/>
    <col min="32" max="34" width="7" bestFit="1" customWidth="1"/>
    <col min="35" max="44" width="6" bestFit="1" customWidth="1"/>
    <col min="45" max="45" width="7" bestFit="1" customWidth="1"/>
    <col min="46" max="49" width="6" bestFit="1" customWidth="1"/>
    <col min="50" max="51" width="7" bestFit="1" customWidth="1"/>
    <col min="52" max="53" width="6" bestFit="1" customWidth="1"/>
    <col min="54" max="54" width="7" bestFit="1" customWidth="1"/>
    <col min="55" max="79" width="6" bestFit="1" customWidth="1"/>
    <col min="80" max="80" width="7" bestFit="1" customWidth="1"/>
    <col min="81" max="95" width="6" bestFit="1" customWidth="1"/>
    <col min="96" max="96" width="7" bestFit="1" customWidth="1"/>
    <col min="97" max="103" width="6" bestFit="1" customWidth="1"/>
    <col min="104" max="104" width="7" bestFit="1" customWidth="1"/>
    <col min="105" max="117" width="6" bestFit="1" customWidth="1"/>
    <col min="118" max="118" width="7" bestFit="1" customWidth="1"/>
    <col min="119" max="122" width="6" bestFit="1" customWidth="1"/>
    <col min="123" max="124" width="7" bestFit="1" customWidth="1"/>
    <col min="125" max="152" width="6" bestFit="1" customWidth="1"/>
    <col min="153" max="153" width="7" bestFit="1" customWidth="1"/>
    <col min="154" max="161" width="6" bestFit="1" customWidth="1"/>
    <col min="162" max="163" width="7" bestFit="1" customWidth="1"/>
    <col min="164" max="179" width="6" bestFit="1" customWidth="1"/>
    <col min="180" max="180" width="7" bestFit="1" customWidth="1"/>
    <col min="181" max="182" width="6" bestFit="1" customWidth="1"/>
    <col min="183" max="185" width="7" bestFit="1" customWidth="1"/>
    <col min="186" max="198" width="6" bestFit="1" customWidth="1"/>
    <col min="199" max="200" width="7" bestFit="1" customWidth="1"/>
    <col min="201" max="215" width="6" bestFit="1" customWidth="1"/>
    <col min="216" max="216" width="7" bestFit="1" customWidth="1"/>
    <col min="217" max="230" width="6" bestFit="1" customWidth="1"/>
    <col min="231" max="231" width="7" bestFit="1" customWidth="1"/>
    <col min="232" max="238" width="6" bestFit="1" customWidth="1"/>
    <col min="239" max="239" width="7" bestFit="1" customWidth="1"/>
    <col min="240" max="246" width="6" bestFit="1" customWidth="1"/>
    <col min="247" max="247" width="7" bestFit="1" customWidth="1"/>
    <col min="248" max="255" width="6" bestFit="1" customWidth="1"/>
    <col min="256" max="256" width="7" bestFit="1" customWidth="1"/>
    <col min="257" max="258" width="6" bestFit="1" customWidth="1"/>
    <col min="259" max="260" width="7" bestFit="1" customWidth="1"/>
    <col min="261" max="266" width="6" bestFit="1" customWidth="1"/>
    <col min="267" max="267" width="7" bestFit="1" customWidth="1"/>
    <col min="268" max="272" width="6" bestFit="1" customWidth="1"/>
    <col min="273" max="273" width="7" bestFit="1" customWidth="1"/>
    <col min="274" max="290" width="6" bestFit="1" customWidth="1"/>
    <col min="291" max="292" width="7" bestFit="1" customWidth="1"/>
    <col min="293" max="297" width="6" bestFit="1" customWidth="1"/>
    <col min="298" max="298" width="7" bestFit="1" customWidth="1"/>
    <col min="299" max="303" width="6" bestFit="1" customWidth="1"/>
    <col min="304" max="304" width="7" bestFit="1" customWidth="1"/>
    <col min="305" max="318" width="6" bestFit="1" customWidth="1"/>
    <col min="319" max="319" width="7" bestFit="1" customWidth="1"/>
    <col min="320" max="321" width="6" bestFit="1" customWidth="1"/>
    <col min="322" max="322" width="7" bestFit="1" customWidth="1"/>
    <col min="323" max="333" width="6" bestFit="1" customWidth="1"/>
    <col min="334" max="334" width="7" bestFit="1" customWidth="1"/>
    <col min="335" max="336" width="6" bestFit="1" customWidth="1"/>
    <col min="337" max="338" width="7" bestFit="1" customWidth="1"/>
    <col min="339" max="344" width="6" bestFit="1" customWidth="1"/>
    <col min="345" max="345" width="7" bestFit="1" customWidth="1"/>
    <col min="346" max="350" width="6" bestFit="1" customWidth="1"/>
    <col min="351" max="351" width="7" bestFit="1" customWidth="1"/>
    <col min="352" max="363" width="6" bestFit="1" customWidth="1"/>
    <col min="364" max="365" width="7" bestFit="1" customWidth="1"/>
    <col min="366" max="366" width="6" bestFit="1" customWidth="1"/>
    <col min="367" max="367" width="7" bestFit="1" customWidth="1"/>
    <col min="368" max="370" width="6" bestFit="1" customWidth="1"/>
    <col min="371" max="371" width="7" bestFit="1" customWidth="1"/>
    <col min="372" max="395" width="6" bestFit="1" customWidth="1"/>
    <col min="396" max="397" width="7" bestFit="1" customWidth="1"/>
    <col min="398" max="403" width="6" bestFit="1" customWidth="1"/>
    <col min="404" max="404" width="7" bestFit="1" customWidth="1"/>
    <col min="405" max="414" width="6" bestFit="1" customWidth="1"/>
    <col min="415" max="415" width="7" bestFit="1" customWidth="1"/>
    <col min="416" max="417" width="6" bestFit="1" customWidth="1"/>
    <col min="418" max="418" width="7" bestFit="1" customWidth="1"/>
    <col min="419" max="421" width="6" bestFit="1" customWidth="1"/>
    <col min="422" max="422" width="7" bestFit="1" customWidth="1"/>
    <col min="423" max="438" width="6" bestFit="1" customWidth="1"/>
    <col min="439" max="440" width="7" bestFit="1" customWidth="1"/>
    <col min="441" max="444" width="6" bestFit="1" customWidth="1"/>
    <col min="445" max="445" width="7" bestFit="1" customWidth="1"/>
    <col min="446" max="459" width="6" bestFit="1" customWidth="1"/>
    <col min="460" max="460" width="7" bestFit="1" customWidth="1"/>
    <col min="461" max="462" width="6" bestFit="1" customWidth="1"/>
    <col min="463" max="463" width="7" bestFit="1" customWidth="1"/>
    <col min="464" max="465" width="6" bestFit="1" customWidth="1"/>
    <col min="466" max="466" width="7" bestFit="1" customWidth="1"/>
    <col min="467" max="474" width="6" bestFit="1" customWidth="1"/>
    <col min="475" max="475" width="7" bestFit="1" customWidth="1"/>
    <col min="476" max="478" width="6" bestFit="1" customWidth="1"/>
    <col min="479" max="479" width="7" bestFit="1" customWidth="1"/>
    <col min="480" max="488" width="6" bestFit="1" customWidth="1"/>
    <col min="489" max="490" width="7" bestFit="1" customWidth="1"/>
    <col min="491" max="493" width="6" bestFit="1" customWidth="1"/>
    <col min="494" max="494" width="7" bestFit="1" customWidth="1"/>
    <col min="495" max="496" width="6" bestFit="1" customWidth="1"/>
    <col min="497" max="497" width="7" bestFit="1" customWidth="1"/>
    <col min="498" max="499" width="6" bestFit="1" customWidth="1"/>
    <col min="500" max="500" width="7" bestFit="1" customWidth="1"/>
    <col min="501" max="510" width="6" bestFit="1" customWidth="1"/>
    <col min="511" max="512" width="7" bestFit="1" customWidth="1"/>
    <col min="513" max="513" width="6" bestFit="1" customWidth="1"/>
    <col min="514" max="514" width="7" bestFit="1" customWidth="1"/>
    <col min="515" max="529" width="6" bestFit="1" customWidth="1"/>
    <col min="530" max="530" width="7" bestFit="1" customWidth="1"/>
    <col min="531" max="541" width="6" bestFit="1" customWidth="1"/>
    <col min="542" max="542" width="7" bestFit="1" customWidth="1"/>
    <col min="543" max="557" width="6" bestFit="1" customWidth="1"/>
    <col min="558" max="558" width="7" bestFit="1" customWidth="1"/>
    <col min="559" max="575" width="6" bestFit="1" customWidth="1"/>
    <col min="576" max="576" width="7" bestFit="1" customWidth="1"/>
    <col min="577" max="586" width="6" bestFit="1" customWidth="1"/>
    <col min="587" max="587" width="7" bestFit="1" customWidth="1"/>
    <col min="588" max="591" width="6" bestFit="1" customWidth="1"/>
    <col min="592" max="592" width="7" bestFit="1" customWidth="1"/>
    <col min="593" max="596" width="6" bestFit="1" customWidth="1"/>
    <col min="597" max="597" width="7" bestFit="1" customWidth="1"/>
    <col min="598" max="630" width="6" bestFit="1" customWidth="1"/>
    <col min="631" max="631" width="7" bestFit="1" customWidth="1"/>
    <col min="632" max="635" width="6" bestFit="1" customWidth="1"/>
    <col min="636" max="636" width="7" bestFit="1" customWidth="1"/>
    <col min="637" max="684" width="6" bestFit="1" customWidth="1"/>
    <col min="685" max="685" width="7" bestFit="1" customWidth="1"/>
    <col min="686" max="689" width="6" bestFit="1" customWidth="1"/>
    <col min="690" max="690" width="7" bestFit="1" customWidth="1"/>
    <col min="691" max="691" width="6" bestFit="1" customWidth="1"/>
    <col min="692" max="693" width="7" bestFit="1" customWidth="1"/>
    <col min="694" max="717" width="6" bestFit="1" customWidth="1"/>
    <col min="718" max="718" width="7" bestFit="1" customWidth="1"/>
    <col min="719" max="723" width="6" bestFit="1" customWidth="1"/>
    <col min="724" max="724" width="7" bestFit="1" customWidth="1"/>
    <col min="725" max="735" width="6" bestFit="1" customWidth="1"/>
    <col min="736" max="736" width="7" bestFit="1" customWidth="1"/>
    <col min="737" max="737" width="6" bestFit="1" customWidth="1"/>
    <col min="738" max="738" width="7" bestFit="1" customWidth="1"/>
    <col min="739" max="749" width="6" bestFit="1" customWidth="1"/>
    <col min="750" max="750" width="7" bestFit="1" customWidth="1"/>
    <col min="751" max="771" width="6" bestFit="1" customWidth="1"/>
    <col min="772" max="772" width="7" bestFit="1" customWidth="1"/>
    <col min="773" max="776" width="6" bestFit="1" customWidth="1"/>
    <col min="777" max="777" width="7" bestFit="1" customWidth="1"/>
    <col min="778" max="782" width="6" bestFit="1" customWidth="1"/>
    <col min="783" max="783" width="7" bestFit="1" customWidth="1"/>
    <col min="784" max="787" width="6" bestFit="1" customWidth="1"/>
    <col min="788" max="788" width="7" bestFit="1" customWidth="1"/>
    <col min="789" max="797" width="6" bestFit="1" customWidth="1"/>
    <col min="798" max="798" width="7" bestFit="1" customWidth="1"/>
    <col min="799" max="799" width="12.109375" bestFit="1" customWidth="1"/>
    <col min="800" max="1069" width="6" bestFit="1" customWidth="1"/>
    <col min="1070" max="1070" width="6.6640625" bestFit="1" customWidth="1"/>
    <col min="1071" max="1147" width="6" bestFit="1" customWidth="1"/>
    <col min="1148" max="1148" width="6.6640625" bestFit="1" customWidth="1"/>
    <col min="1149" max="1372" width="6" bestFit="1" customWidth="1"/>
    <col min="1373" max="1373" width="6.6640625" bestFit="1" customWidth="1"/>
    <col min="1374" max="1594" width="6" bestFit="1" customWidth="1"/>
    <col min="1595" max="1595" width="7" bestFit="1" customWidth="1"/>
    <col min="1596" max="1596" width="14.6640625" bestFit="1" customWidth="1"/>
    <col min="1597" max="2391" width="6" bestFit="1" customWidth="1"/>
    <col min="2392" max="2392" width="7" bestFit="1" customWidth="1"/>
    <col min="2393" max="2393" width="16.21875" bestFit="1" customWidth="1"/>
    <col min="2394" max="2394" width="16.88671875" bestFit="1" customWidth="1"/>
    <col min="2395" max="2395" width="19.44140625" bestFit="1" customWidth="1"/>
  </cols>
  <sheetData>
    <row r="3" spans="1:6" x14ac:dyDescent="0.3">
      <c r="A3" s="4" t="s">
        <v>181</v>
      </c>
      <c r="B3" t="s">
        <v>184</v>
      </c>
      <c r="C3" t="s">
        <v>185</v>
      </c>
      <c r="D3" t="s">
        <v>187</v>
      </c>
      <c r="E3" t="s">
        <v>189</v>
      </c>
      <c r="F3" s="3" t="s">
        <v>190</v>
      </c>
    </row>
    <row r="4" spans="1:6" x14ac:dyDescent="0.3">
      <c r="A4" s="5" t="s">
        <v>13</v>
      </c>
      <c r="B4" s="2">
        <v>7626221.5</v>
      </c>
      <c r="C4" s="2">
        <v>815956</v>
      </c>
      <c r="D4" s="2">
        <v>610</v>
      </c>
      <c r="E4" s="2">
        <v>212</v>
      </c>
      <c r="F4" s="3">
        <v>0.10699348294565009</v>
      </c>
    </row>
    <row r="5" spans="1:6" x14ac:dyDescent="0.3">
      <c r="A5" s="5" t="s">
        <v>18</v>
      </c>
      <c r="B5" s="2">
        <v>7127856.5</v>
      </c>
      <c r="C5" s="2">
        <v>955832.5</v>
      </c>
      <c r="D5" s="2">
        <v>602</v>
      </c>
      <c r="E5" s="2">
        <v>197</v>
      </c>
      <c r="F5" s="3">
        <v>0.13409816822210155</v>
      </c>
    </row>
    <row r="6" spans="1:6" x14ac:dyDescent="0.3">
      <c r="A6" s="5" t="s">
        <v>36</v>
      </c>
      <c r="B6" s="2">
        <v>6920861</v>
      </c>
      <c r="C6" s="2">
        <v>755931</v>
      </c>
      <c r="D6" s="2">
        <v>601</v>
      </c>
      <c r="E6" s="2">
        <v>194</v>
      </c>
      <c r="F6" s="3">
        <v>0.10922499382663516</v>
      </c>
    </row>
    <row r="7" spans="1:6" x14ac:dyDescent="0.3">
      <c r="A7" s="5" t="s">
        <v>21</v>
      </c>
      <c r="B7" s="2">
        <v>7581265</v>
      </c>
      <c r="C7" s="2">
        <v>892303</v>
      </c>
      <c r="D7" s="2">
        <v>557</v>
      </c>
      <c r="E7" s="2">
        <v>193</v>
      </c>
      <c r="F7" s="3">
        <v>0.11769843159419965</v>
      </c>
    </row>
    <row r="8" spans="1:6" x14ac:dyDescent="0.3">
      <c r="A8" s="5" t="s">
        <v>182</v>
      </c>
      <c r="B8" s="2"/>
      <c r="C8" s="2"/>
      <c r="D8" s="2"/>
      <c r="E8" s="2"/>
      <c r="F8" s="3" t="e">
        <v>#DIV/0!</v>
      </c>
    </row>
    <row r="9" spans="1:6" x14ac:dyDescent="0.3">
      <c r="A9" s="5" t="s">
        <v>183</v>
      </c>
      <c r="B9" s="2">
        <v>29256204</v>
      </c>
      <c r="C9" s="2">
        <v>3420022.5</v>
      </c>
      <c r="D9" s="2">
        <v>2370</v>
      </c>
      <c r="E9" s="2">
        <v>796</v>
      </c>
      <c r="F9" s="3">
        <v>0.116899051565268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F994-36AF-4F8C-A162-76A2CF5A48EE}">
  <dimension ref="A3:E11"/>
  <sheetViews>
    <sheetView workbookViewId="0">
      <selection activeCell="E18" sqref="E18"/>
    </sheetView>
  </sheetViews>
  <sheetFormatPr defaultRowHeight="14.4" x14ac:dyDescent="0.3"/>
  <cols>
    <col min="1" max="1" width="12.5546875" style="3" bestFit="1" customWidth="1"/>
    <col min="2" max="2" width="11.44140625" bestFit="1" customWidth="1"/>
    <col min="3" max="3" width="12.109375" bestFit="1" customWidth="1"/>
    <col min="4" max="4" width="16" bestFit="1" customWidth="1"/>
    <col min="5" max="5" width="14.6640625" bestFit="1" customWidth="1"/>
  </cols>
  <sheetData>
    <row r="3" spans="1:5" x14ac:dyDescent="0.3">
      <c r="A3" s="7" t="s">
        <v>181</v>
      </c>
      <c r="B3" t="s">
        <v>184</v>
      </c>
      <c r="C3" t="s">
        <v>185</v>
      </c>
      <c r="D3" t="s">
        <v>189</v>
      </c>
      <c r="E3" t="s">
        <v>187</v>
      </c>
    </row>
    <row r="4" spans="1:5" x14ac:dyDescent="0.3">
      <c r="A4" s="8">
        <v>0.1</v>
      </c>
      <c r="B4" s="2">
        <v>6885504</v>
      </c>
      <c r="C4" s="2">
        <v>863141</v>
      </c>
      <c r="D4" s="2">
        <v>198</v>
      </c>
      <c r="E4" s="2">
        <v>599</v>
      </c>
    </row>
    <row r="5" spans="1:5" x14ac:dyDescent="0.3">
      <c r="A5" s="8">
        <v>0.05</v>
      </c>
      <c r="B5" s="2">
        <v>7251055.5</v>
      </c>
      <c r="C5" s="2">
        <v>1167051</v>
      </c>
      <c r="D5" s="2">
        <v>163</v>
      </c>
      <c r="E5" s="2">
        <v>465</v>
      </c>
    </row>
    <row r="6" spans="1:5" x14ac:dyDescent="0.3">
      <c r="A6" s="8">
        <v>0.15</v>
      </c>
      <c r="B6" s="2">
        <v>6572659</v>
      </c>
      <c r="C6" s="2">
        <v>380007</v>
      </c>
      <c r="D6" s="2">
        <v>152</v>
      </c>
      <c r="E6" s="2">
        <v>458</v>
      </c>
    </row>
    <row r="7" spans="1:5" x14ac:dyDescent="0.3">
      <c r="A7" s="8">
        <v>0</v>
      </c>
      <c r="B7" s="2">
        <v>4885850</v>
      </c>
      <c r="C7" s="2">
        <v>1056667.5</v>
      </c>
      <c r="D7" s="2">
        <v>145</v>
      </c>
      <c r="E7" s="2">
        <v>437</v>
      </c>
    </row>
    <row r="8" spans="1:5" x14ac:dyDescent="0.3">
      <c r="A8" s="8">
        <v>0.2</v>
      </c>
      <c r="B8" s="2">
        <v>2307888</v>
      </c>
      <c r="C8" s="2">
        <v>15780</v>
      </c>
      <c r="D8" s="2">
        <v>73</v>
      </c>
      <c r="E8" s="2">
        <v>218</v>
      </c>
    </row>
    <row r="9" spans="1:5" x14ac:dyDescent="0.3">
      <c r="A9" s="8">
        <v>0.25</v>
      </c>
      <c r="B9" s="2">
        <v>1353247.5</v>
      </c>
      <c r="C9" s="2">
        <v>-62624</v>
      </c>
      <c r="D9" s="2">
        <v>65</v>
      </c>
      <c r="E9" s="2">
        <v>193</v>
      </c>
    </row>
    <row r="10" spans="1:5" x14ac:dyDescent="0.3">
      <c r="A10" s="8" t="s">
        <v>182</v>
      </c>
      <c r="B10" s="2"/>
      <c r="C10" s="2"/>
      <c r="D10" s="2"/>
      <c r="E10" s="2"/>
    </row>
    <row r="11" spans="1:5" x14ac:dyDescent="0.3">
      <c r="A11" s="8" t="s">
        <v>183</v>
      </c>
      <c r="B11" s="2">
        <v>29256204</v>
      </c>
      <c r="C11" s="2">
        <v>3420022.5</v>
      </c>
      <c r="D11" s="2">
        <v>796</v>
      </c>
      <c r="E11" s="2">
        <v>2370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6857-B5B2-4524-9F6B-4F210A302CDF}">
  <dimension ref="A3:E16"/>
  <sheetViews>
    <sheetView workbookViewId="0">
      <selection activeCell="G21" sqref="G21"/>
    </sheetView>
  </sheetViews>
  <sheetFormatPr defaultRowHeight="14.4" x14ac:dyDescent="0.3"/>
  <cols>
    <col min="1" max="1" width="12.5546875" bestFit="1" customWidth="1"/>
    <col min="2" max="2" width="18" style="3" bestFit="1" customWidth="1"/>
    <col min="3" max="3" width="12.109375" bestFit="1" customWidth="1"/>
    <col min="4" max="4" width="11.44140625" bestFit="1" customWidth="1"/>
    <col min="5" max="5" width="8.88671875" style="3"/>
  </cols>
  <sheetData>
    <row r="3" spans="1:5" x14ac:dyDescent="0.3">
      <c r="A3" s="4" t="s">
        <v>181</v>
      </c>
      <c r="B3" s="3" t="s">
        <v>191</v>
      </c>
      <c r="C3" t="s">
        <v>185</v>
      </c>
      <c r="D3" t="s">
        <v>184</v>
      </c>
      <c r="E3" s="3" t="s">
        <v>192</v>
      </c>
    </row>
    <row r="4" spans="1:5" x14ac:dyDescent="0.3">
      <c r="A4" s="5" t="s">
        <v>52</v>
      </c>
      <c r="B4" s="3">
        <v>0.12597402597402596</v>
      </c>
      <c r="C4" s="2">
        <v>87660</v>
      </c>
      <c r="D4" s="2">
        <v>340380</v>
      </c>
      <c r="E4" s="3">
        <f>C4/D4</f>
        <v>0.25753569539925963</v>
      </c>
    </row>
    <row r="5" spans="1:5" x14ac:dyDescent="0.3">
      <c r="A5" s="5" t="s">
        <v>15</v>
      </c>
      <c r="B5" s="3">
        <v>9.3103448275862019E-2</v>
      </c>
      <c r="C5" s="2">
        <v>753450</v>
      </c>
      <c r="D5" s="2">
        <v>3626250</v>
      </c>
      <c r="E5" s="3">
        <f t="shared" ref="E5:E16" si="0">C5/D5</f>
        <v>0.20777662874870734</v>
      </c>
    </row>
    <row r="6" spans="1:5" x14ac:dyDescent="0.3">
      <c r="A6" s="5" t="s">
        <v>26</v>
      </c>
      <c r="B6" s="3">
        <v>0.10301204819277107</v>
      </c>
      <c r="C6" s="2">
        <v>87660</v>
      </c>
      <c r="D6" s="2">
        <v>1013850</v>
      </c>
      <c r="E6" s="3">
        <f t="shared" si="0"/>
        <v>8.6462494451841995E-2</v>
      </c>
    </row>
    <row r="7" spans="1:5" x14ac:dyDescent="0.3">
      <c r="A7" s="5" t="s">
        <v>34</v>
      </c>
      <c r="B7" s="3">
        <v>0.11075949367088607</v>
      </c>
      <c r="C7" s="2">
        <v>120450</v>
      </c>
      <c r="D7" s="2">
        <v>455070</v>
      </c>
      <c r="E7" s="3">
        <f t="shared" si="0"/>
        <v>0.26468455402465557</v>
      </c>
    </row>
    <row r="8" spans="1:5" x14ac:dyDescent="0.3">
      <c r="A8" s="5" t="s">
        <v>41</v>
      </c>
      <c r="B8" s="3">
        <v>0.1038834951456311</v>
      </c>
      <c r="C8" s="2">
        <v>1283150</v>
      </c>
      <c r="D8" s="2">
        <v>15309250</v>
      </c>
      <c r="E8" s="3">
        <f t="shared" si="0"/>
        <v>8.3815340398778512E-2</v>
      </c>
    </row>
    <row r="9" spans="1:5" x14ac:dyDescent="0.3">
      <c r="A9" s="5" t="s">
        <v>23</v>
      </c>
      <c r="B9" s="3">
        <v>9.9242424242424215E-2</v>
      </c>
      <c r="C9" s="2">
        <v>56940</v>
      </c>
      <c r="D9" s="2">
        <v>205140</v>
      </c>
      <c r="E9" s="3">
        <f t="shared" si="0"/>
        <v>0.27756653992395436</v>
      </c>
    </row>
    <row r="10" spans="1:5" x14ac:dyDescent="0.3">
      <c r="A10" s="5" t="s">
        <v>20</v>
      </c>
      <c r="B10" s="3">
        <v>9.1333333333333308E-2</v>
      </c>
      <c r="C10" s="2">
        <v>20462.5</v>
      </c>
      <c r="D10" s="2">
        <v>51950</v>
      </c>
      <c r="E10" s="3">
        <f t="shared" si="0"/>
        <v>0.39388835418671797</v>
      </c>
    </row>
    <row r="11" spans="1:5" x14ac:dyDescent="0.3">
      <c r="A11" s="5" t="s">
        <v>17</v>
      </c>
      <c r="B11" s="3">
        <v>9.6103896103896067E-2</v>
      </c>
      <c r="C11" s="2">
        <v>501600</v>
      </c>
      <c r="D11" s="2">
        <v>2445600</v>
      </c>
      <c r="E11" s="3">
        <f t="shared" si="0"/>
        <v>0.20510304219823355</v>
      </c>
    </row>
    <row r="12" spans="1:5" x14ac:dyDescent="0.3">
      <c r="A12" s="5" t="s">
        <v>11</v>
      </c>
      <c r="B12" s="3">
        <v>9.3999999999999945E-2</v>
      </c>
      <c r="C12" s="2">
        <v>14850</v>
      </c>
      <c r="D12" s="2">
        <v>38214</v>
      </c>
      <c r="E12" s="3">
        <f t="shared" si="0"/>
        <v>0.38860103626943004</v>
      </c>
    </row>
    <row r="13" spans="1:5" x14ac:dyDescent="0.3">
      <c r="A13" s="5" t="s">
        <v>30</v>
      </c>
      <c r="B13" s="3">
        <v>0.10753424657534247</v>
      </c>
      <c r="C13" s="2">
        <v>480600</v>
      </c>
      <c r="D13" s="2">
        <v>5622000</v>
      </c>
      <c r="E13" s="3">
        <f t="shared" si="0"/>
        <v>8.5485592315901818E-2</v>
      </c>
    </row>
    <row r="14" spans="1:5" x14ac:dyDescent="0.3">
      <c r="A14" s="5" t="s">
        <v>180</v>
      </c>
      <c r="B14" s="3">
        <v>0.1</v>
      </c>
      <c r="C14" s="2">
        <v>13200</v>
      </c>
      <c r="D14" s="2">
        <v>148500</v>
      </c>
      <c r="E14" s="3">
        <f t="shared" si="0"/>
        <v>8.8888888888888892E-2</v>
      </c>
    </row>
    <row r="15" spans="1:5" x14ac:dyDescent="0.3">
      <c r="A15" s="5" t="s">
        <v>182</v>
      </c>
      <c r="C15" s="2"/>
      <c r="D15" s="2"/>
      <c r="E15" s="3" t="e">
        <f t="shared" si="0"/>
        <v>#DIV/0!</v>
      </c>
    </row>
    <row r="16" spans="1:5" x14ac:dyDescent="0.3">
      <c r="A16" s="5" t="s">
        <v>183</v>
      </c>
      <c r="B16" s="3">
        <v>0.10251256281407013</v>
      </c>
      <c r="C16" s="2">
        <v>3420022.5</v>
      </c>
      <c r="D16" s="2">
        <v>29256204</v>
      </c>
      <c r="E16" s="3">
        <f t="shared" si="0"/>
        <v>0.116899051565268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BB84-1976-4F37-9610-90ED749EFAC9}">
  <dimension ref="A3:B16"/>
  <sheetViews>
    <sheetView workbookViewId="0">
      <selection activeCell="A4" sqref="A4:B15"/>
    </sheetView>
  </sheetViews>
  <sheetFormatPr defaultRowHeight="14.4" x14ac:dyDescent="0.3"/>
  <cols>
    <col min="1" max="1" width="12.5546875" bestFit="1" customWidth="1"/>
    <col min="2" max="2" width="11.44140625" bestFit="1" customWidth="1"/>
    <col min="3" max="4" width="16" bestFit="1" customWidth="1"/>
  </cols>
  <sheetData>
    <row r="3" spans="1:2" x14ac:dyDescent="0.3">
      <c r="A3" s="4" t="s">
        <v>181</v>
      </c>
      <c r="B3" t="s">
        <v>184</v>
      </c>
    </row>
    <row r="4" spans="1:2" x14ac:dyDescent="0.3">
      <c r="A4" s="5" t="s">
        <v>194</v>
      </c>
      <c r="B4" s="2">
        <v>2980891</v>
      </c>
    </row>
    <row r="5" spans="1:2" x14ac:dyDescent="0.3">
      <c r="A5" s="5" t="s">
        <v>195</v>
      </c>
      <c r="B5" s="2">
        <v>2549733.5</v>
      </c>
    </row>
    <row r="6" spans="1:2" x14ac:dyDescent="0.3">
      <c r="A6" s="5" t="s">
        <v>196</v>
      </c>
      <c r="B6" s="2">
        <v>2637538</v>
      </c>
    </row>
    <row r="7" spans="1:2" x14ac:dyDescent="0.3">
      <c r="A7" s="5" t="s">
        <v>197</v>
      </c>
      <c r="B7" s="2">
        <v>1494173</v>
      </c>
    </row>
    <row r="8" spans="1:2" x14ac:dyDescent="0.3">
      <c r="A8" s="5" t="s">
        <v>198</v>
      </c>
      <c r="B8" s="2">
        <v>2074598</v>
      </c>
    </row>
    <row r="9" spans="1:2" x14ac:dyDescent="0.3">
      <c r="A9" s="5" t="s">
        <v>199</v>
      </c>
      <c r="B9" s="2">
        <v>2379149</v>
      </c>
    </row>
    <row r="10" spans="1:2" x14ac:dyDescent="0.3">
      <c r="A10" s="5" t="s">
        <v>200</v>
      </c>
      <c r="B10" s="2">
        <v>3273083</v>
      </c>
    </row>
    <row r="11" spans="1:2" x14ac:dyDescent="0.3">
      <c r="A11" s="5" t="s">
        <v>201</v>
      </c>
      <c r="B11" s="2">
        <v>2235294.5</v>
      </c>
    </row>
    <row r="12" spans="1:2" x14ac:dyDescent="0.3">
      <c r="A12" s="5" t="s">
        <v>202</v>
      </c>
      <c r="B12" s="2">
        <v>2214587.5</v>
      </c>
    </row>
    <row r="13" spans="1:2" x14ac:dyDescent="0.3">
      <c r="A13" s="5" t="s">
        <v>203</v>
      </c>
      <c r="B13" s="2">
        <v>3029783</v>
      </c>
    </row>
    <row r="14" spans="1:2" x14ac:dyDescent="0.3">
      <c r="A14" s="5" t="s">
        <v>204</v>
      </c>
      <c r="B14" s="2">
        <v>2080526.5</v>
      </c>
    </row>
    <row r="15" spans="1:2" x14ac:dyDescent="0.3">
      <c r="A15" s="5" t="s">
        <v>205</v>
      </c>
      <c r="B15" s="2">
        <v>2285247</v>
      </c>
    </row>
    <row r="16" spans="1:2" x14ac:dyDescent="0.3">
      <c r="A16" s="5" t="s">
        <v>183</v>
      </c>
      <c r="B16" s="2">
        <v>29234604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35A0-49B9-4C4D-8387-5BCD59DC9F28}">
  <dimension ref="A3:O111"/>
  <sheetViews>
    <sheetView tabSelected="1" workbookViewId="0">
      <selection activeCell="O104" sqref="O10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" bestFit="1" customWidth="1"/>
    <col min="4" max="4" width="10" bestFit="1" customWidth="1"/>
    <col min="5" max="9" width="8" bestFit="1" customWidth="1"/>
    <col min="10" max="11" width="10" bestFit="1" customWidth="1"/>
    <col min="12" max="12" width="8" bestFit="1" customWidth="1"/>
    <col min="13" max="13" width="10" bestFit="1" customWidth="1"/>
    <col min="14" max="14" width="8" bestFit="1" customWidth="1"/>
    <col min="15" max="15" width="10.77734375" bestFit="1" customWidth="1"/>
  </cols>
  <sheetData>
    <row r="3" spans="1:15" x14ac:dyDescent="0.3">
      <c r="A3" s="4" t="s">
        <v>184</v>
      </c>
      <c r="B3" s="4" t="s">
        <v>188</v>
      </c>
    </row>
    <row r="4" spans="1:15" x14ac:dyDescent="0.3">
      <c r="A4" s="4" t="s">
        <v>181</v>
      </c>
      <c r="B4" t="s">
        <v>193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  <c r="K4" t="s">
        <v>202</v>
      </c>
      <c r="L4" t="s">
        <v>203</v>
      </c>
      <c r="M4" t="s">
        <v>204</v>
      </c>
      <c r="N4" t="s">
        <v>205</v>
      </c>
      <c r="O4" t="s">
        <v>183</v>
      </c>
    </row>
    <row r="5" spans="1:15" x14ac:dyDescent="0.3">
      <c r="A5" s="5" t="s">
        <v>52</v>
      </c>
      <c r="B5" s="2"/>
      <c r="C5" s="2">
        <v>11250</v>
      </c>
      <c r="D5" s="2">
        <v>17460</v>
      </c>
      <c r="E5" s="2">
        <v>35460</v>
      </c>
      <c r="F5" s="2">
        <v>23040</v>
      </c>
      <c r="G5" s="2">
        <v>40140</v>
      </c>
      <c r="H5" s="2">
        <v>29070</v>
      </c>
      <c r="I5" s="2">
        <v>36900</v>
      </c>
      <c r="J5" s="2">
        <v>17100</v>
      </c>
      <c r="K5" s="2">
        <v>22140</v>
      </c>
      <c r="L5" s="2">
        <v>45540</v>
      </c>
      <c r="M5" s="2">
        <v>33210</v>
      </c>
      <c r="N5" s="2">
        <v>29070</v>
      </c>
      <c r="O5" s="2">
        <v>340380</v>
      </c>
    </row>
    <row r="6" spans="1:15" x14ac:dyDescent="0.3">
      <c r="A6" s="5" t="s">
        <v>15</v>
      </c>
      <c r="B6" s="2"/>
      <c r="C6" s="2">
        <v>299250</v>
      </c>
      <c r="D6" s="2">
        <v>348000</v>
      </c>
      <c r="E6" s="2">
        <v>386250</v>
      </c>
      <c r="F6" s="2">
        <v>198000</v>
      </c>
      <c r="G6" s="2">
        <v>297000</v>
      </c>
      <c r="H6" s="2">
        <v>109500</v>
      </c>
      <c r="I6" s="2">
        <v>321750</v>
      </c>
      <c r="J6" s="2">
        <v>387000</v>
      </c>
      <c r="K6" s="2">
        <v>255000</v>
      </c>
      <c r="L6" s="2">
        <v>249750</v>
      </c>
      <c r="M6" s="2">
        <v>364500</v>
      </c>
      <c r="N6" s="2">
        <v>410250</v>
      </c>
      <c r="O6" s="2">
        <v>3626250</v>
      </c>
    </row>
    <row r="7" spans="1:15" x14ac:dyDescent="0.3">
      <c r="A7" s="5" t="s">
        <v>26</v>
      </c>
      <c r="B7" s="2"/>
      <c r="C7" s="2">
        <v>44325</v>
      </c>
      <c r="D7" s="2">
        <v>124875</v>
      </c>
      <c r="E7" s="2">
        <v>85275</v>
      </c>
      <c r="F7" s="2">
        <v>109800</v>
      </c>
      <c r="G7" s="2">
        <v>104175</v>
      </c>
      <c r="H7" s="2">
        <v>44550</v>
      </c>
      <c r="I7" s="2">
        <v>81000</v>
      </c>
      <c r="J7" s="2">
        <v>75600</v>
      </c>
      <c r="K7" s="2">
        <v>89550</v>
      </c>
      <c r="L7" s="2">
        <v>169875</v>
      </c>
      <c r="M7" s="2">
        <v>65250</v>
      </c>
      <c r="N7" s="2">
        <v>19575</v>
      </c>
      <c r="O7" s="2">
        <v>1013850</v>
      </c>
    </row>
    <row r="8" spans="1:15" x14ac:dyDescent="0.3">
      <c r="A8" s="5" t="s">
        <v>34</v>
      </c>
      <c r="B8" s="2"/>
      <c r="C8" s="2">
        <v>46530</v>
      </c>
      <c r="D8" s="2">
        <v>31680</v>
      </c>
      <c r="E8" s="2">
        <v>15840</v>
      </c>
      <c r="F8" s="2">
        <v>6600</v>
      </c>
      <c r="G8" s="2">
        <v>28490</v>
      </c>
      <c r="H8" s="2">
        <v>46640</v>
      </c>
      <c r="I8" s="2">
        <v>18150</v>
      </c>
      <c r="J8" s="2">
        <v>63360</v>
      </c>
      <c r="K8" s="2">
        <v>29150</v>
      </c>
      <c r="L8" s="2">
        <v>88660</v>
      </c>
      <c r="M8" s="2">
        <v>47190</v>
      </c>
      <c r="N8" s="2">
        <v>32780</v>
      </c>
      <c r="O8" s="2">
        <v>455070</v>
      </c>
    </row>
    <row r="9" spans="1:15" x14ac:dyDescent="0.3">
      <c r="A9" s="5" t="s">
        <v>41</v>
      </c>
      <c r="B9" s="2"/>
      <c r="C9" s="2">
        <v>2026750</v>
      </c>
      <c r="D9" s="2">
        <v>1273250</v>
      </c>
      <c r="E9" s="2">
        <v>1600500</v>
      </c>
      <c r="F9" s="2">
        <v>772750</v>
      </c>
      <c r="G9" s="2">
        <v>1089000</v>
      </c>
      <c r="H9" s="2">
        <v>1317250</v>
      </c>
      <c r="I9" s="2">
        <v>2326500</v>
      </c>
      <c r="J9" s="2">
        <v>470250</v>
      </c>
      <c r="K9" s="2">
        <v>1243000</v>
      </c>
      <c r="L9" s="2">
        <v>1526250</v>
      </c>
      <c r="M9" s="2">
        <v>866250</v>
      </c>
      <c r="N9" s="2">
        <v>797500</v>
      </c>
      <c r="O9" s="2">
        <v>15309250</v>
      </c>
    </row>
    <row r="10" spans="1:15" x14ac:dyDescent="0.3">
      <c r="A10" s="5" t="s">
        <v>23</v>
      </c>
      <c r="B10" s="2"/>
      <c r="C10" s="2">
        <v>12420</v>
      </c>
      <c r="D10" s="2">
        <v>18480</v>
      </c>
      <c r="E10" s="2">
        <v>13680</v>
      </c>
      <c r="F10" s="2">
        <v>13800</v>
      </c>
      <c r="G10" s="2">
        <v>15540</v>
      </c>
      <c r="H10" s="2">
        <v>14340</v>
      </c>
      <c r="I10" s="2">
        <v>9900</v>
      </c>
      <c r="J10" s="2">
        <v>13200</v>
      </c>
      <c r="K10" s="2">
        <v>38280</v>
      </c>
      <c r="L10" s="2">
        <v>24240</v>
      </c>
      <c r="M10" s="2">
        <v>5280</v>
      </c>
      <c r="N10" s="2">
        <v>25980</v>
      </c>
      <c r="O10" s="2">
        <v>205140</v>
      </c>
    </row>
    <row r="11" spans="1:15" x14ac:dyDescent="0.3">
      <c r="A11" s="5" t="s">
        <v>20</v>
      </c>
      <c r="B11" s="2"/>
      <c r="C11" s="2">
        <v>5850</v>
      </c>
      <c r="D11" s="2">
        <v>3337.5</v>
      </c>
      <c r="E11" s="2">
        <v>2500</v>
      </c>
      <c r="F11" s="2">
        <v>4600</v>
      </c>
      <c r="G11" s="2">
        <v>7125</v>
      </c>
      <c r="H11" s="2">
        <v>2000</v>
      </c>
      <c r="I11" s="2">
        <v>5000</v>
      </c>
      <c r="J11" s="2">
        <v>8637.5</v>
      </c>
      <c r="K11" s="2">
        <v>3962.5</v>
      </c>
      <c r="L11" s="2">
        <v>3550</v>
      </c>
      <c r="M11" s="2">
        <v>2237.5</v>
      </c>
      <c r="N11" s="2">
        <v>3150</v>
      </c>
      <c r="O11" s="2">
        <v>51950</v>
      </c>
    </row>
    <row r="12" spans="1:15" x14ac:dyDescent="0.3">
      <c r="A12" s="5" t="s">
        <v>17</v>
      </c>
      <c r="B12" s="2">
        <v>21600</v>
      </c>
      <c r="C12" s="2">
        <v>204000</v>
      </c>
      <c r="D12" s="2">
        <v>108000</v>
      </c>
      <c r="E12" s="2">
        <v>318600</v>
      </c>
      <c r="F12" s="2">
        <v>181800</v>
      </c>
      <c r="G12" s="2">
        <v>108000</v>
      </c>
      <c r="H12" s="2">
        <v>220200</v>
      </c>
      <c r="I12" s="2">
        <v>83400</v>
      </c>
      <c r="J12" s="2">
        <v>184800</v>
      </c>
      <c r="K12" s="2">
        <v>425400</v>
      </c>
      <c r="L12" s="2">
        <v>264600</v>
      </c>
      <c r="M12" s="2">
        <v>169800</v>
      </c>
      <c r="N12" s="2">
        <v>155400</v>
      </c>
      <c r="O12" s="2">
        <v>2445600</v>
      </c>
    </row>
    <row r="13" spans="1:15" x14ac:dyDescent="0.3">
      <c r="A13" s="5" t="s">
        <v>11</v>
      </c>
      <c r="B13" s="2"/>
      <c r="C13" s="2">
        <v>2016</v>
      </c>
      <c r="D13" s="2">
        <v>2151</v>
      </c>
      <c r="E13" s="2">
        <v>3933</v>
      </c>
      <c r="F13" s="2">
        <v>5283</v>
      </c>
      <c r="G13" s="2">
        <v>2628</v>
      </c>
      <c r="H13" s="2">
        <v>4599</v>
      </c>
      <c r="I13" s="2">
        <v>3483</v>
      </c>
      <c r="J13" s="2">
        <v>4347</v>
      </c>
      <c r="K13" s="2">
        <v>3105</v>
      </c>
      <c r="L13" s="2">
        <v>1818</v>
      </c>
      <c r="M13" s="2">
        <v>1809</v>
      </c>
      <c r="N13" s="2">
        <v>3042</v>
      </c>
      <c r="O13" s="2">
        <v>38214</v>
      </c>
    </row>
    <row r="14" spans="1:15" x14ac:dyDescent="0.3">
      <c r="A14" s="5" t="s">
        <v>30</v>
      </c>
      <c r="B14" s="2"/>
      <c r="C14" s="2">
        <v>328500</v>
      </c>
      <c r="D14" s="2">
        <v>474000</v>
      </c>
      <c r="E14" s="2">
        <v>175500</v>
      </c>
      <c r="F14" s="2">
        <v>178500</v>
      </c>
      <c r="G14" s="2">
        <v>382500</v>
      </c>
      <c r="H14" s="2">
        <v>591000</v>
      </c>
      <c r="I14" s="2">
        <v>387000</v>
      </c>
      <c r="J14" s="2">
        <v>1011000</v>
      </c>
      <c r="K14" s="2">
        <v>105000</v>
      </c>
      <c r="L14" s="2">
        <v>655500</v>
      </c>
      <c r="M14" s="2">
        <v>525000</v>
      </c>
      <c r="N14" s="2">
        <v>808500</v>
      </c>
      <c r="O14" s="2">
        <v>5622000</v>
      </c>
    </row>
    <row r="15" spans="1:15" x14ac:dyDescent="0.3">
      <c r="A15" s="5" t="s">
        <v>180</v>
      </c>
      <c r="B15" s="2"/>
      <c r="C15" s="2"/>
      <c r="D15" s="2">
        <v>148500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>
        <v>148500</v>
      </c>
    </row>
    <row r="16" spans="1:15" x14ac:dyDescent="0.3">
      <c r="A16" s="5" t="s">
        <v>182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5" t="s">
        <v>183</v>
      </c>
      <c r="B17" s="2">
        <v>21600</v>
      </c>
      <c r="C17" s="2">
        <v>2980891</v>
      </c>
      <c r="D17" s="2">
        <v>2549733.5</v>
      </c>
      <c r="E17" s="2">
        <v>2637538</v>
      </c>
      <c r="F17" s="2">
        <v>1494173</v>
      </c>
      <c r="G17" s="2">
        <v>2074598</v>
      </c>
      <c r="H17" s="2">
        <v>2379149</v>
      </c>
      <c r="I17" s="2">
        <v>3273083</v>
      </c>
      <c r="J17" s="2">
        <v>2235294.5</v>
      </c>
      <c r="K17" s="2">
        <v>2214587.5</v>
      </c>
      <c r="L17" s="2">
        <v>3029783</v>
      </c>
      <c r="M17" s="2">
        <v>2080526.5</v>
      </c>
      <c r="N17" s="2">
        <v>2285247</v>
      </c>
      <c r="O17" s="2">
        <v>29256204</v>
      </c>
    </row>
    <row r="20" spans="1:15" x14ac:dyDescent="0.3">
      <c r="A20" s="9" t="s">
        <v>209</v>
      </c>
      <c r="B20" s="14" t="s">
        <v>210</v>
      </c>
    </row>
    <row r="21" spans="1:15" x14ac:dyDescent="0.3">
      <c r="A21" s="11" t="s">
        <v>224</v>
      </c>
      <c r="B21" s="14" t="s">
        <v>216</v>
      </c>
    </row>
    <row r="22" spans="1:15" x14ac:dyDescent="0.3">
      <c r="A22" s="10" t="s">
        <v>194</v>
      </c>
      <c r="B22" s="13">
        <v>2980891</v>
      </c>
    </row>
    <row r="23" spans="1:15" x14ac:dyDescent="0.3">
      <c r="A23" s="10" t="s">
        <v>195</v>
      </c>
      <c r="B23" s="13">
        <v>2549733.5</v>
      </c>
    </row>
    <row r="24" spans="1:15" x14ac:dyDescent="0.3">
      <c r="A24" s="10" t="s">
        <v>196</v>
      </c>
      <c r="B24" s="13">
        <v>2637538</v>
      </c>
    </row>
    <row r="25" spans="1:15" x14ac:dyDescent="0.3">
      <c r="A25" s="10" t="s">
        <v>197</v>
      </c>
      <c r="B25" s="13">
        <v>1494173</v>
      </c>
    </row>
    <row r="26" spans="1:15" x14ac:dyDescent="0.3">
      <c r="A26" s="10" t="s">
        <v>198</v>
      </c>
      <c r="B26" s="13">
        <v>2074598</v>
      </c>
    </row>
    <row r="27" spans="1:15" x14ac:dyDescent="0.3">
      <c r="A27" s="10" t="s">
        <v>199</v>
      </c>
      <c r="B27" s="13">
        <v>2379149</v>
      </c>
    </row>
    <row r="28" spans="1:15" x14ac:dyDescent="0.3">
      <c r="A28" s="10" t="s">
        <v>200</v>
      </c>
      <c r="B28" s="13">
        <v>3273083</v>
      </c>
    </row>
    <row r="29" spans="1:15" x14ac:dyDescent="0.3">
      <c r="A29" s="10" t="s">
        <v>201</v>
      </c>
      <c r="B29" s="13">
        <v>2235294.5</v>
      </c>
    </row>
    <row r="30" spans="1:15" x14ac:dyDescent="0.3">
      <c r="A30" s="10" t="s">
        <v>202</v>
      </c>
      <c r="B30" s="13">
        <v>2214587.5</v>
      </c>
    </row>
    <row r="31" spans="1:15" x14ac:dyDescent="0.3">
      <c r="A31" s="10" t="s">
        <v>203</v>
      </c>
      <c r="B31" s="13">
        <v>3029783</v>
      </c>
    </row>
    <row r="32" spans="1:15" x14ac:dyDescent="0.3">
      <c r="A32" s="10" t="s">
        <v>204</v>
      </c>
      <c r="B32" s="13">
        <v>2080526.5</v>
      </c>
    </row>
    <row r="33" spans="1:2" x14ac:dyDescent="0.3">
      <c r="A33" s="10" t="s">
        <v>205</v>
      </c>
      <c r="B33" s="13">
        <v>2285247</v>
      </c>
    </row>
    <row r="37" spans="1:2" x14ac:dyDescent="0.3">
      <c r="A37" s="9" t="s">
        <v>225</v>
      </c>
      <c r="B37" s="14" t="s">
        <v>216</v>
      </c>
    </row>
    <row r="38" spans="1:2" x14ac:dyDescent="0.3">
      <c r="A38" s="10" t="s">
        <v>27</v>
      </c>
      <c r="B38" s="13">
        <v>22093600</v>
      </c>
    </row>
    <row r="39" spans="1:2" x14ac:dyDescent="0.3">
      <c r="A39" s="10" t="s">
        <v>16</v>
      </c>
      <c r="B39" s="13">
        <v>6071850</v>
      </c>
    </row>
    <row r="40" spans="1:2" x14ac:dyDescent="0.3">
      <c r="A40" s="10" t="s">
        <v>24</v>
      </c>
      <c r="B40" s="13">
        <v>1000590</v>
      </c>
    </row>
    <row r="41" spans="1:2" x14ac:dyDescent="0.3">
      <c r="A41" s="10" t="s">
        <v>12</v>
      </c>
      <c r="B41" s="13">
        <v>90164</v>
      </c>
    </row>
    <row r="54" spans="1:2" x14ac:dyDescent="0.3">
      <c r="A54" s="9" t="s">
        <v>226</v>
      </c>
      <c r="B54" s="14" t="s">
        <v>216</v>
      </c>
    </row>
    <row r="55" spans="1:2" x14ac:dyDescent="0.3">
      <c r="A55" s="10" t="s">
        <v>13</v>
      </c>
      <c r="B55" s="13">
        <v>7626221.5</v>
      </c>
    </row>
    <row r="56" spans="1:2" x14ac:dyDescent="0.3">
      <c r="A56" s="10" t="s">
        <v>21</v>
      </c>
      <c r="B56" s="13">
        <v>7581265</v>
      </c>
    </row>
    <row r="57" spans="1:2" x14ac:dyDescent="0.3">
      <c r="A57" s="10" t="s">
        <v>18</v>
      </c>
      <c r="B57" s="13">
        <v>7127856.5</v>
      </c>
    </row>
    <row r="58" spans="1:2" x14ac:dyDescent="0.3">
      <c r="A58" s="10" t="s">
        <v>36</v>
      </c>
      <c r="B58" s="13">
        <v>6920861</v>
      </c>
    </row>
    <row r="72" spans="1:2" x14ac:dyDescent="0.3">
      <c r="A72" s="9" t="s">
        <v>227</v>
      </c>
      <c r="B72" s="14" t="s">
        <v>216</v>
      </c>
    </row>
    <row r="73" spans="1:2" x14ac:dyDescent="0.3">
      <c r="A73" s="10" t="s">
        <v>41</v>
      </c>
      <c r="B73" s="13">
        <v>15309250</v>
      </c>
    </row>
    <row r="74" spans="1:2" x14ac:dyDescent="0.3">
      <c r="A74" s="10" t="s">
        <v>30</v>
      </c>
      <c r="B74" s="13">
        <v>5622000</v>
      </c>
    </row>
    <row r="75" spans="1:2" x14ac:dyDescent="0.3">
      <c r="A75" s="10" t="s">
        <v>15</v>
      </c>
      <c r="B75" s="13">
        <v>3626250</v>
      </c>
    </row>
    <row r="76" spans="1:2" x14ac:dyDescent="0.3">
      <c r="A76" s="10" t="s">
        <v>17</v>
      </c>
      <c r="B76" s="13">
        <v>2445600</v>
      </c>
    </row>
    <row r="77" spans="1:2" x14ac:dyDescent="0.3">
      <c r="A77" s="10" t="s">
        <v>26</v>
      </c>
      <c r="B77" s="13">
        <v>1013850</v>
      </c>
    </row>
    <row r="88" spans="1:2" x14ac:dyDescent="0.3">
      <c r="A88" s="9" t="s">
        <v>227</v>
      </c>
      <c r="B88" s="14" t="s">
        <v>223</v>
      </c>
    </row>
    <row r="89" spans="1:2" x14ac:dyDescent="0.3">
      <c r="A89" s="10" t="s">
        <v>20</v>
      </c>
      <c r="B89" s="15">
        <v>0.39389999999999997</v>
      </c>
    </row>
    <row r="90" spans="1:2" x14ac:dyDescent="0.3">
      <c r="A90" s="10" t="s">
        <v>11</v>
      </c>
      <c r="B90" s="15">
        <v>0.3886</v>
      </c>
    </row>
    <row r="91" spans="1:2" x14ac:dyDescent="0.3">
      <c r="A91" s="10" t="s">
        <v>23</v>
      </c>
      <c r="B91" s="15">
        <v>0.27760000000000001</v>
      </c>
    </row>
    <row r="92" spans="1:2" x14ac:dyDescent="0.3">
      <c r="A92" s="10" t="s">
        <v>34</v>
      </c>
      <c r="B92" s="15">
        <v>0.26469999999999999</v>
      </c>
    </row>
    <row r="93" spans="1:2" x14ac:dyDescent="0.3">
      <c r="A93" s="10" t="s">
        <v>52</v>
      </c>
      <c r="B93" s="15">
        <v>0.25750000000000001</v>
      </c>
    </row>
    <row r="94" spans="1:2" x14ac:dyDescent="0.3">
      <c r="A94" s="10" t="s">
        <v>15</v>
      </c>
      <c r="B94" s="15">
        <v>0.20780000000000001</v>
      </c>
    </row>
    <row r="95" spans="1:2" x14ac:dyDescent="0.3">
      <c r="A95" s="10" t="s">
        <v>17</v>
      </c>
      <c r="B95" s="15">
        <v>0.2051</v>
      </c>
    </row>
    <row r="96" spans="1:2" x14ac:dyDescent="0.3">
      <c r="A96" s="10" t="s">
        <v>180</v>
      </c>
      <c r="B96" s="15">
        <v>8.8900000000000007E-2</v>
      </c>
    </row>
    <row r="97" spans="1:2" x14ac:dyDescent="0.3">
      <c r="A97" s="10" t="s">
        <v>26</v>
      </c>
      <c r="B97" s="15">
        <v>8.6499999999999994E-2</v>
      </c>
    </row>
    <row r="98" spans="1:2" x14ac:dyDescent="0.3">
      <c r="A98" s="10" t="s">
        <v>30</v>
      </c>
      <c r="B98" s="15">
        <v>8.5500000000000007E-2</v>
      </c>
    </row>
    <row r="99" spans="1:2" x14ac:dyDescent="0.3">
      <c r="A99" s="10" t="s">
        <v>41</v>
      </c>
      <c r="B99" s="15">
        <v>8.3799999999999999E-2</v>
      </c>
    </row>
    <row r="107" spans="1:2" x14ac:dyDescent="0.3">
      <c r="A107" s="16" t="s">
        <v>53</v>
      </c>
      <c r="B107" s="17">
        <v>785775</v>
      </c>
    </row>
    <row r="108" spans="1:2" x14ac:dyDescent="0.3">
      <c r="A108" s="16" t="s">
        <v>63</v>
      </c>
      <c r="B108" s="17">
        <v>691400</v>
      </c>
    </row>
    <row r="109" spans="1:2" x14ac:dyDescent="0.3">
      <c r="A109" s="16" t="s">
        <v>22</v>
      </c>
      <c r="B109" s="17">
        <v>657990</v>
      </c>
    </row>
    <row r="110" spans="1:2" x14ac:dyDescent="0.3">
      <c r="A110" s="16" t="s">
        <v>113</v>
      </c>
      <c r="B110" s="17">
        <v>615436</v>
      </c>
    </row>
    <row r="111" spans="1:2" x14ac:dyDescent="0.3">
      <c r="A111" s="16" t="s">
        <v>76</v>
      </c>
      <c r="B111" s="17">
        <v>577663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9C5C-9622-49D1-8E55-473C66D2B9EC}">
  <dimension ref="A3:O596"/>
  <sheetViews>
    <sheetView workbookViewId="0">
      <selection activeCell="K21" sqref="K21"/>
    </sheetView>
  </sheetViews>
  <sheetFormatPr defaultRowHeight="14.4" x14ac:dyDescent="0.3"/>
  <cols>
    <col min="1" max="1" width="12.5546875" bestFit="1" customWidth="1"/>
    <col min="2" max="2" width="11.44140625" bestFit="1" customWidth="1"/>
    <col min="3" max="3" width="12.109375" bestFit="1" customWidth="1"/>
    <col min="4" max="4" width="16" bestFit="1" customWidth="1"/>
    <col min="5" max="5" width="28.21875" style="3" bestFit="1" customWidth="1"/>
    <col min="6" max="6" width="24.6640625" bestFit="1" customWidth="1"/>
    <col min="7" max="7" width="16.109375" bestFit="1" customWidth="1"/>
    <col min="11" max="11" width="12.109375" customWidth="1"/>
    <col min="12" max="12" width="11.88671875" customWidth="1"/>
  </cols>
  <sheetData>
    <row r="3" spans="1:15" x14ac:dyDescent="0.3">
      <c r="A3" s="4" t="s">
        <v>181</v>
      </c>
      <c r="B3" t="s">
        <v>184</v>
      </c>
      <c r="C3" t="s">
        <v>185</v>
      </c>
      <c r="D3" t="s">
        <v>189</v>
      </c>
      <c r="E3" s="3" t="s">
        <v>206</v>
      </c>
      <c r="F3" t="s">
        <v>207</v>
      </c>
      <c r="G3" t="s">
        <v>208</v>
      </c>
    </row>
    <row r="4" spans="1:15" x14ac:dyDescent="0.3">
      <c r="A4" s="5" t="s">
        <v>53</v>
      </c>
      <c r="B4" s="2">
        <v>785775</v>
      </c>
      <c r="C4" s="2">
        <v>79098</v>
      </c>
      <c r="D4" s="2">
        <v>12</v>
      </c>
      <c r="E4" s="3">
        <v>0.10066240335974039</v>
      </c>
      <c r="F4">
        <f>B4/D4</f>
        <v>65481.25</v>
      </c>
      <c r="G4" t="str">
        <f>IF(B4&gt;=168370,IF(E4&gt;=0.1355,"High Value","Revenue Focus"),IF(E4&gt;=0.1355,"Margin Focus","Low Value"))</f>
        <v>Revenue Focus</v>
      </c>
    </row>
    <row r="5" spans="1:15" x14ac:dyDescent="0.3">
      <c r="A5" s="5" t="s">
        <v>63</v>
      </c>
      <c r="B5" s="2">
        <v>691400</v>
      </c>
      <c r="C5" s="2">
        <v>73860</v>
      </c>
      <c r="D5" s="2">
        <v>8</v>
      </c>
      <c r="E5" s="3">
        <v>0.10682672837720567</v>
      </c>
      <c r="F5">
        <f t="shared" ref="F5:F68" si="0">B5/D5</f>
        <v>86425</v>
      </c>
      <c r="G5" t="str">
        <f t="shared" ref="G5:G68" si="1">IF(B5&gt;=168370,IF(E5&gt;=0.1355,"High Value","Revenue Focus"),IF(E5&gt;=0.1355,"Margin Focus","Low Value"))</f>
        <v>Revenue Focus</v>
      </c>
    </row>
    <row r="6" spans="1:15" x14ac:dyDescent="0.3">
      <c r="A6" s="5" t="s">
        <v>22</v>
      </c>
      <c r="B6" s="2">
        <v>657990</v>
      </c>
      <c r="C6" s="2">
        <v>78300</v>
      </c>
      <c r="D6" s="2">
        <v>9</v>
      </c>
      <c r="E6" s="3">
        <v>0.11899876897825194</v>
      </c>
      <c r="F6">
        <f t="shared" si="0"/>
        <v>73110</v>
      </c>
      <c r="G6" t="str">
        <f t="shared" si="1"/>
        <v>Revenue Focus</v>
      </c>
    </row>
    <row r="7" spans="1:15" x14ac:dyDescent="0.3">
      <c r="A7" s="5" t="s">
        <v>113</v>
      </c>
      <c r="B7" s="2">
        <v>615436</v>
      </c>
      <c r="C7" s="2">
        <v>57664</v>
      </c>
      <c r="D7" s="2">
        <v>7</v>
      </c>
      <c r="E7" s="3">
        <v>9.369617636927316E-2</v>
      </c>
      <c r="F7">
        <f t="shared" si="0"/>
        <v>87919.428571428565</v>
      </c>
      <c r="G7" t="str">
        <f t="shared" si="1"/>
        <v>Revenue Focus</v>
      </c>
      <c r="I7" s="3"/>
    </row>
    <row r="8" spans="1:15" x14ac:dyDescent="0.3">
      <c r="A8" s="5" t="s">
        <v>76</v>
      </c>
      <c r="B8" s="2">
        <v>577663</v>
      </c>
      <c r="C8" s="2">
        <v>78302</v>
      </c>
      <c r="D8" s="2">
        <v>11</v>
      </c>
      <c r="E8" s="3">
        <v>0.13554961976100252</v>
      </c>
      <c r="F8">
        <f t="shared" si="0"/>
        <v>52514.818181818184</v>
      </c>
      <c r="G8" t="str">
        <f t="shared" si="1"/>
        <v>High Value</v>
      </c>
      <c r="K8" s="9" t="s">
        <v>209</v>
      </c>
      <c r="L8" s="9" t="s">
        <v>210</v>
      </c>
      <c r="M8" s="9" t="s">
        <v>211</v>
      </c>
      <c r="N8" s="9" t="s">
        <v>212</v>
      </c>
      <c r="O8" s="9" t="s">
        <v>213</v>
      </c>
    </row>
    <row r="9" spans="1:15" ht="28.8" x14ac:dyDescent="0.3">
      <c r="A9" s="5" t="s">
        <v>163</v>
      </c>
      <c r="B9" s="2">
        <v>540140</v>
      </c>
      <c r="C9" s="2">
        <v>28720</v>
      </c>
      <c r="D9" s="2">
        <v>7</v>
      </c>
      <c r="E9" s="3">
        <v>5.3171400007405487E-2</v>
      </c>
      <c r="F9">
        <f t="shared" si="0"/>
        <v>77162.857142857145</v>
      </c>
      <c r="G9" t="str">
        <f t="shared" si="1"/>
        <v>Revenue Focus</v>
      </c>
      <c r="K9" s="11" t="s">
        <v>214</v>
      </c>
      <c r="L9" s="11" t="s">
        <v>215</v>
      </c>
      <c r="M9" s="11" t="s">
        <v>216</v>
      </c>
      <c r="N9" s="11" t="s">
        <v>217</v>
      </c>
      <c r="O9" s="11" t="s">
        <v>218</v>
      </c>
    </row>
    <row r="10" spans="1:15" x14ac:dyDescent="0.3">
      <c r="A10" s="5" t="s">
        <v>121</v>
      </c>
      <c r="B10" s="2">
        <v>529740</v>
      </c>
      <c r="C10" s="2">
        <v>17235</v>
      </c>
      <c r="D10" s="2">
        <v>7</v>
      </c>
      <c r="E10" s="3">
        <v>3.2534828406388036E-2</v>
      </c>
      <c r="F10">
        <f t="shared" si="0"/>
        <v>75677.142857142855</v>
      </c>
      <c r="G10" t="str">
        <f t="shared" si="1"/>
        <v>Revenue Focus</v>
      </c>
      <c r="K10" s="10" t="s">
        <v>219</v>
      </c>
      <c r="L10" s="10"/>
      <c r="M10" s="10"/>
      <c r="N10" s="10"/>
      <c r="O10" s="10"/>
    </row>
    <row r="11" spans="1:15" ht="28.8" x14ac:dyDescent="0.3">
      <c r="A11" s="5" t="s">
        <v>56</v>
      </c>
      <c r="B11" s="2">
        <v>514700</v>
      </c>
      <c r="C11" s="2">
        <v>18860</v>
      </c>
      <c r="D11" s="2">
        <v>7</v>
      </c>
      <c r="E11" s="3">
        <v>3.6642704488051292E-2</v>
      </c>
      <c r="F11">
        <f t="shared" si="0"/>
        <v>73528.571428571435</v>
      </c>
      <c r="G11" t="str">
        <f t="shared" si="1"/>
        <v>Revenue Focus</v>
      </c>
      <c r="K11" s="10" t="s">
        <v>220</v>
      </c>
      <c r="L11" s="10"/>
      <c r="M11" s="10"/>
      <c r="N11" s="10"/>
      <c r="O11" s="10"/>
    </row>
    <row r="12" spans="1:15" x14ac:dyDescent="0.3">
      <c r="A12" s="5" t="s">
        <v>136</v>
      </c>
      <c r="B12" s="2">
        <v>498240</v>
      </c>
      <c r="C12" s="2">
        <v>54260</v>
      </c>
      <c r="D12" s="2">
        <v>6</v>
      </c>
      <c r="E12" s="3">
        <v>0.10890333975594091</v>
      </c>
      <c r="F12">
        <f t="shared" si="0"/>
        <v>83040</v>
      </c>
      <c r="G12" t="str">
        <f t="shared" si="1"/>
        <v>Revenue Focus</v>
      </c>
      <c r="K12" s="10" t="s">
        <v>221</v>
      </c>
      <c r="L12" s="10"/>
      <c r="M12" s="10"/>
      <c r="N12" s="10"/>
      <c r="O12" s="10"/>
    </row>
    <row r="13" spans="1:15" x14ac:dyDescent="0.3">
      <c r="A13" s="5" t="s">
        <v>141</v>
      </c>
      <c r="B13" s="2">
        <v>471120</v>
      </c>
      <c r="C13" s="2">
        <v>51780</v>
      </c>
      <c r="D13" s="2">
        <v>6</v>
      </c>
      <c r="E13" s="3">
        <v>0.10990830361691289</v>
      </c>
      <c r="F13">
        <f t="shared" si="0"/>
        <v>78520</v>
      </c>
      <c r="G13" t="str">
        <f t="shared" si="1"/>
        <v>Revenue Focus</v>
      </c>
      <c r="K13" s="10" t="s">
        <v>222</v>
      </c>
      <c r="L13" s="10"/>
      <c r="M13" s="10"/>
      <c r="N13" s="10"/>
      <c r="O13" s="10"/>
    </row>
    <row r="14" spans="1:15" x14ac:dyDescent="0.3">
      <c r="A14" s="5" t="s">
        <v>51</v>
      </c>
      <c r="B14" s="2">
        <v>449322.5</v>
      </c>
      <c r="C14" s="2">
        <v>24300</v>
      </c>
      <c r="D14" s="2">
        <v>6</v>
      </c>
      <c r="E14" s="3">
        <v>5.4081422586227043E-2</v>
      </c>
      <c r="F14">
        <f t="shared" si="0"/>
        <v>74887.083333333328</v>
      </c>
      <c r="G14" t="str">
        <f t="shared" si="1"/>
        <v>Revenue Focus</v>
      </c>
    </row>
    <row r="15" spans="1:15" x14ac:dyDescent="0.3">
      <c r="A15" s="5" t="s">
        <v>73</v>
      </c>
      <c r="B15" s="2">
        <v>418576</v>
      </c>
      <c r="C15" s="2">
        <v>47006</v>
      </c>
      <c r="D15" s="2">
        <v>10</v>
      </c>
      <c r="E15" s="3">
        <v>0.11229979740835595</v>
      </c>
      <c r="F15">
        <f t="shared" si="0"/>
        <v>41857.599999999999</v>
      </c>
      <c r="G15" t="str">
        <f t="shared" si="1"/>
        <v>Revenue Focus</v>
      </c>
    </row>
    <row r="16" spans="1:15" x14ac:dyDescent="0.3">
      <c r="A16" s="5" t="s">
        <v>40</v>
      </c>
      <c r="B16" s="2">
        <v>405460</v>
      </c>
      <c r="C16" s="2">
        <v>41800</v>
      </c>
      <c r="D16" s="2">
        <v>3</v>
      </c>
      <c r="E16" s="3">
        <v>0.10309278350515463</v>
      </c>
      <c r="F16">
        <f t="shared" si="0"/>
        <v>135153.33333333334</v>
      </c>
      <c r="G16" t="str">
        <f t="shared" si="1"/>
        <v>Revenue Focus</v>
      </c>
    </row>
    <row r="17" spans="1:7" x14ac:dyDescent="0.3">
      <c r="A17" s="5" t="s">
        <v>143</v>
      </c>
      <c r="B17" s="2">
        <v>385300</v>
      </c>
      <c r="C17" s="2">
        <v>57470</v>
      </c>
      <c r="D17" s="2">
        <v>4</v>
      </c>
      <c r="E17" s="3">
        <v>0.14915650142745912</v>
      </c>
      <c r="F17">
        <f t="shared" si="0"/>
        <v>96325</v>
      </c>
      <c r="G17" t="str">
        <f t="shared" si="1"/>
        <v>High Value</v>
      </c>
    </row>
    <row r="18" spans="1:7" x14ac:dyDescent="0.3">
      <c r="A18" s="5" t="s">
        <v>100</v>
      </c>
      <c r="B18" s="2">
        <v>384273.5</v>
      </c>
      <c r="C18" s="2">
        <v>47367</v>
      </c>
      <c r="D18" s="2">
        <v>9</v>
      </c>
      <c r="E18" s="3">
        <v>0.12326376916441024</v>
      </c>
      <c r="F18">
        <f t="shared" si="0"/>
        <v>42697.055555555555</v>
      </c>
      <c r="G18" t="str">
        <f t="shared" si="1"/>
        <v>Revenue Focus</v>
      </c>
    </row>
    <row r="19" spans="1:7" x14ac:dyDescent="0.3">
      <c r="A19" s="5" t="s">
        <v>93</v>
      </c>
      <c r="B19" s="2">
        <v>381171</v>
      </c>
      <c r="C19" s="2">
        <v>47382</v>
      </c>
      <c r="D19" s="2">
        <v>6</v>
      </c>
      <c r="E19" s="3">
        <v>0.12430641365686267</v>
      </c>
      <c r="F19">
        <f t="shared" si="0"/>
        <v>63528.5</v>
      </c>
      <c r="G19" t="str">
        <f t="shared" si="1"/>
        <v>Revenue Focus</v>
      </c>
    </row>
    <row r="20" spans="1:7" x14ac:dyDescent="0.3">
      <c r="A20" s="5" t="s">
        <v>148</v>
      </c>
      <c r="B20" s="2">
        <v>379925</v>
      </c>
      <c r="C20" s="2">
        <v>13935</v>
      </c>
      <c r="D20" s="2">
        <v>8</v>
      </c>
      <c r="E20" s="3">
        <v>3.6678291768112124E-2</v>
      </c>
      <c r="F20">
        <f t="shared" si="0"/>
        <v>47490.625</v>
      </c>
      <c r="G20" t="str">
        <f t="shared" si="1"/>
        <v>Revenue Focus</v>
      </c>
    </row>
    <row r="21" spans="1:7" x14ac:dyDescent="0.3">
      <c r="A21" s="5" t="s">
        <v>134</v>
      </c>
      <c r="B21" s="2">
        <v>371750</v>
      </c>
      <c r="C21" s="2">
        <v>53615</v>
      </c>
      <c r="D21" s="2">
        <v>6</v>
      </c>
      <c r="E21" s="3">
        <v>0.14422326832548757</v>
      </c>
      <c r="F21">
        <f t="shared" si="0"/>
        <v>61958.333333333336</v>
      </c>
      <c r="G21" t="str">
        <f t="shared" si="1"/>
        <v>High Value</v>
      </c>
    </row>
    <row r="22" spans="1:7" x14ac:dyDescent="0.3">
      <c r="A22" s="5" t="s">
        <v>106</v>
      </c>
      <c r="B22" s="2">
        <v>364113</v>
      </c>
      <c r="C22" s="2">
        <v>34114</v>
      </c>
      <c r="D22" s="2">
        <v>5</v>
      </c>
      <c r="E22" s="3">
        <v>9.3690694921631471E-2</v>
      </c>
      <c r="F22">
        <f t="shared" si="0"/>
        <v>72822.600000000006</v>
      </c>
      <c r="G22" t="str">
        <f t="shared" si="1"/>
        <v>Revenue Focus</v>
      </c>
    </row>
    <row r="23" spans="1:7" x14ac:dyDescent="0.3">
      <c r="A23" s="5" t="s">
        <v>115</v>
      </c>
      <c r="B23" s="2">
        <v>343550</v>
      </c>
      <c r="C23" s="2">
        <v>16780</v>
      </c>
      <c r="D23" s="2">
        <v>3</v>
      </c>
      <c r="E23" s="3">
        <v>4.8842963178576629E-2</v>
      </c>
      <c r="F23">
        <f t="shared" si="0"/>
        <v>114516.66666666667</v>
      </c>
      <c r="G23" t="str">
        <f t="shared" si="1"/>
        <v>Revenue Focus</v>
      </c>
    </row>
    <row r="24" spans="1:7" x14ac:dyDescent="0.3">
      <c r="A24" s="5" t="s">
        <v>84</v>
      </c>
      <c r="B24" s="2">
        <v>341210</v>
      </c>
      <c r="C24" s="2">
        <v>64890</v>
      </c>
      <c r="D24" s="2">
        <v>7</v>
      </c>
      <c r="E24" s="3">
        <v>0.19017613786231352</v>
      </c>
      <c r="F24">
        <f t="shared" si="0"/>
        <v>48744.285714285717</v>
      </c>
      <c r="G24" t="str">
        <f t="shared" si="1"/>
        <v>High Value</v>
      </c>
    </row>
    <row r="25" spans="1:7" x14ac:dyDescent="0.3">
      <c r="A25" s="5" t="s">
        <v>80</v>
      </c>
      <c r="B25" s="2">
        <v>337758</v>
      </c>
      <c r="C25" s="2">
        <v>57389</v>
      </c>
      <c r="D25" s="2">
        <v>5</v>
      </c>
      <c r="E25" s="3">
        <v>0.16991159350777776</v>
      </c>
      <c r="F25">
        <f t="shared" si="0"/>
        <v>67551.600000000006</v>
      </c>
      <c r="G25" t="str">
        <f t="shared" si="1"/>
        <v>High Value</v>
      </c>
    </row>
    <row r="26" spans="1:7" x14ac:dyDescent="0.3">
      <c r="A26" s="5" t="s">
        <v>162</v>
      </c>
      <c r="B26" s="2">
        <v>333620</v>
      </c>
      <c r="C26" s="2">
        <v>56631</v>
      </c>
      <c r="D26" s="2">
        <v>5</v>
      </c>
      <c r="E26" s="3">
        <v>0.16974701756489419</v>
      </c>
      <c r="F26">
        <f t="shared" si="0"/>
        <v>66724</v>
      </c>
      <c r="G26" t="str">
        <f t="shared" si="1"/>
        <v>High Value</v>
      </c>
    </row>
    <row r="27" spans="1:7" x14ac:dyDescent="0.3">
      <c r="A27" s="5" t="s">
        <v>105</v>
      </c>
      <c r="B27" s="2">
        <v>331520</v>
      </c>
      <c r="C27" s="2">
        <v>23662.5</v>
      </c>
      <c r="D27" s="2">
        <v>10</v>
      </c>
      <c r="E27" s="3">
        <v>7.1375784266409267E-2</v>
      </c>
      <c r="F27">
        <f t="shared" si="0"/>
        <v>33152</v>
      </c>
      <c r="G27" t="str">
        <f t="shared" si="1"/>
        <v>Revenue Focus</v>
      </c>
    </row>
    <row r="28" spans="1:7" x14ac:dyDescent="0.3">
      <c r="A28" s="5" t="s">
        <v>70</v>
      </c>
      <c r="B28" s="2">
        <v>317500</v>
      </c>
      <c r="C28" s="2">
        <v>38000</v>
      </c>
      <c r="D28" s="2">
        <v>2</v>
      </c>
      <c r="E28" s="3">
        <v>0.11968503937007874</v>
      </c>
      <c r="F28">
        <f t="shared" si="0"/>
        <v>158750</v>
      </c>
      <c r="G28" t="str">
        <f t="shared" si="1"/>
        <v>Revenue Focus</v>
      </c>
    </row>
    <row r="29" spans="1:7" x14ac:dyDescent="0.3">
      <c r="A29" s="5" t="s">
        <v>114</v>
      </c>
      <c r="B29" s="2">
        <v>309144</v>
      </c>
      <c r="C29" s="2">
        <v>30736</v>
      </c>
      <c r="D29" s="2">
        <v>4</v>
      </c>
      <c r="E29" s="3">
        <v>9.9422922650932902E-2</v>
      </c>
      <c r="F29">
        <f t="shared" si="0"/>
        <v>77286</v>
      </c>
      <c r="G29" t="str">
        <f t="shared" si="1"/>
        <v>Revenue Focus</v>
      </c>
    </row>
    <row r="30" spans="1:7" x14ac:dyDescent="0.3">
      <c r="A30" s="5" t="s">
        <v>78</v>
      </c>
      <c r="B30" s="2">
        <v>298927</v>
      </c>
      <c r="C30" s="2">
        <v>46045</v>
      </c>
      <c r="D30" s="2">
        <v>7</v>
      </c>
      <c r="E30" s="3">
        <v>0.15403426254570513</v>
      </c>
      <c r="F30">
        <f t="shared" si="0"/>
        <v>42703.857142857145</v>
      </c>
      <c r="G30" t="str">
        <f t="shared" si="1"/>
        <v>High Value</v>
      </c>
    </row>
    <row r="31" spans="1:7" x14ac:dyDescent="0.3">
      <c r="A31" s="5" t="s">
        <v>83</v>
      </c>
      <c r="B31" s="2">
        <v>294775</v>
      </c>
      <c r="C31" s="2">
        <v>19382.5</v>
      </c>
      <c r="D31" s="2">
        <v>7</v>
      </c>
      <c r="E31" s="3">
        <v>6.5753540836231028E-2</v>
      </c>
      <c r="F31">
        <f t="shared" si="0"/>
        <v>42110.714285714283</v>
      </c>
      <c r="G31" t="str">
        <f t="shared" si="1"/>
        <v>Revenue Focus</v>
      </c>
    </row>
    <row r="32" spans="1:7" x14ac:dyDescent="0.3">
      <c r="A32" s="5" t="s">
        <v>98</v>
      </c>
      <c r="B32" s="2">
        <v>286560</v>
      </c>
      <c r="C32" s="2">
        <v>38200</v>
      </c>
      <c r="D32" s="2">
        <v>5</v>
      </c>
      <c r="E32" s="3">
        <v>0.13330541596873255</v>
      </c>
      <c r="F32">
        <f t="shared" si="0"/>
        <v>57312</v>
      </c>
      <c r="G32" t="str">
        <f t="shared" si="1"/>
        <v>Revenue Focus</v>
      </c>
    </row>
    <row r="33" spans="1:7" x14ac:dyDescent="0.3">
      <c r="A33" s="5" t="s">
        <v>164</v>
      </c>
      <c r="B33" s="2">
        <v>284575</v>
      </c>
      <c r="C33" s="2">
        <v>40075</v>
      </c>
      <c r="D33" s="2">
        <v>4</v>
      </c>
      <c r="E33" s="3">
        <v>0.14082403584292366</v>
      </c>
      <c r="F33">
        <f t="shared" si="0"/>
        <v>71143.75</v>
      </c>
      <c r="G33" t="str">
        <f t="shared" si="1"/>
        <v>High Value</v>
      </c>
    </row>
    <row r="34" spans="1:7" x14ac:dyDescent="0.3">
      <c r="A34" s="5" t="s">
        <v>42</v>
      </c>
      <c r="B34" s="2">
        <v>283903</v>
      </c>
      <c r="C34" s="2">
        <v>34895</v>
      </c>
      <c r="D34" s="2">
        <v>10</v>
      </c>
      <c r="E34" s="3">
        <v>0.12291169871399739</v>
      </c>
      <c r="F34">
        <f t="shared" si="0"/>
        <v>28390.3</v>
      </c>
      <c r="G34" t="str">
        <f t="shared" si="1"/>
        <v>Revenue Focus</v>
      </c>
    </row>
    <row r="35" spans="1:7" x14ac:dyDescent="0.3">
      <c r="A35" s="5" t="s">
        <v>124</v>
      </c>
      <c r="B35" s="2">
        <v>283902</v>
      </c>
      <c r="C35" s="2">
        <v>36726</v>
      </c>
      <c r="D35" s="2">
        <v>6</v>
      </c>
      <c r="E35" s="3">
        <v>0.12936154024980451</v>
      </c>
      <c r="F35">
        <f t="shared" si="0"/>
        <v>47317</v>
      </c>
      <c r="G35" t="str">
        <f t="shared" si="1"/>
        <v>Revenue Focus</v>
      </c>
    </row>
    <row r="36" spans="1:7" x14ac:dyDescent="0.3">
      <c r="A36" s="5" t="s">
        <v>94</v>
      </c>
      <c r="B36" s="2">
        <v>277856</v>
      </c>
      <c r="C36" s="2">
        <v>44363</v>
      </c>
      <c r="D36" s="2">
        <v>8</v>
      </c>
      <c r="E36" s="3">
        <v>0.15966183922607394</v>
      </c>
      <c r="F36">
        <f t="shared" si="0"/>
        <v>34732</v>
      </c>
      <c r="G36" t="str">
        <f t="shared" si="1"/>
        <v>High Value</v>
      </c>
    </row>
    <row r="37" spans="1:7" x14ac:dyDescent="0.3">
      <c r="A37" s="5" t="s">
        <v>150</v>
      </c>
      <c r="B37" s="2">
        <v>276610</v>
      </c>
      <c r="C37" s="2">
        <v>18900</v>
      </c>
      <c r="D37" s="2">
        <v>4</v>
      </c>
      <c r="E37" s="3">
        <v>6.8327247749539063E-2</v>
      </c>
      <c r="F37">
        <f t="shared" si="0"/>
        <v>69152.5</v>
      </c>
      <c r="G37" t="str">
        <f t="shared" si="1"/>
        <v>Revenue Focus</v>
      </c>
    </row>
    <row r="38" spans="1:7" x14ac:dyDescent="0.3">
      <c r="A38" s="5" t="s">
        <v>131</v>
      </c>
      <c r="B38" s="2">
        <v>274950</v>
      </c>
      <c r="C38" s="2">
        <v>49270</v>
      </c>
      <c r="D38" s="2">
        <v>6</v>
      </c>
      <c r="E38" s="3">
        <v>0.17919621749408984</v>
      </c>
      <c r="F38">
        <f t="shared" si="0"/>
        <v>45825</v>
      </c>
      <c r="G38" t="str">
        <f t="shared" si="1"/>
        <v>High Value</v>
      </c>
    </row>
    <row r="39" spans="1:7" x14ac:dyDescent="0.3">
      <c r="A39" s="5" t="s">
        <v>46</v>
      </c>
      <c r="B39" s="2">
        <v>272460</v>
      </c>
      <c r="C39" s="2">
        <v>18895</v>
      </c>
      <c r="D39" s="2">
        <v>7</v>
      </c>
      <c r="E39" s="3">
        <v>6.9349629303383981E-2</v>
      </c>
      <c r="F39">
        <f t="shared" si="0"/>
        <v>38922.857142857145</v>
      </c>
      <c r="G39" t="str">
        <f t="shared" si="1"/>
        <v>Revenue Focus</v>
      </c>
    </row>
    <row r="40" spans="1:7" x14ac:dyDescent="0.3">
      <c r="A40" s="5" t="s">
        <v>86</v>
      </c>
      <c r="B40" s="2">
        <v>264120</v>
      </c>
      <c r="C40" s="2">
        <v>3950</v>
      </c>
      <c r="D40" s="2">
        <v>4</v>
      </c>
      <c r="E40" s="3">
        <v>1.4955323337876723E-2</v>
      </c>
      <c r="F40">
        <f t="shared" si="0"/>
        <v>66030</v>
      </c>
      <c r="G40" t="str">
        <f t="shared" si="1"/>
        <v>Revenue Focus</v>
      </c>
    </row>
    <row r="41" spans="1:7" x14ac:dyDescent="0.3">
      <c r="A41" s="5" t="s">
        <v>133</v>
      </c>
      <c r="B41" s="2">
        <v>263242</v>
      </c>
      <c r="C41" s="2">
        <v>32888</v>
      </c>
      <c r="D41" s="2">
        <v>8</v>
      </c>
      <c r="E41" s="3">
        <v>0.12493447094308659</v>
      </c>
      <c r="F41">
        <f t="shared" si="0"/>
        <v>32905.25</v>
      </c>
      <c r="G41" t="str">
        <f t="shared" si="1"/>
        <v>Revenue Focus</v>
      </c>
    </row>
    <row r="42" spans="1:7" x14ac:dyDescent="0.3">
      <c r="A42" s="5" t="s">
        <v>96</v>
      </c>
      <c r="B42" s="2">
        <v>263170</v>
      </c>
      <c r="C42" s="2">
        <v>36110</v>
      </c>
      <c r="D42" s="2">
        <v>2</v>
      </c>
      <c r="E42" s="3">
        <v>0.13721168826233993</v>
      </c>
      <c r="F42">
        <f t="shared" si="0"/>
        <v>131585</v>
      </c>
      <c r="G42" t="str">
        <f t="shared" si="1"/>
        <v>High Value</v>
      </c>
    </row>
    <row r="43" spans="1:7" x14ac:dyDescent="0.3">
      <c r="A43" s="5" t="s">
        <v>135</v>
      </c>
      <c r="B43" s="2">
        <v>259770</v>
      </c>
      <c r="C43" s="2">
        <v>25145</v>
      </c>
      <c r="D43" s="2">
        <v>7</v>
      </c>
      <c r="E43" s="3">
        <v>9.679716672441005E-2</v>
      </c>
      <c r="F43">
        <f t="shared" si="0"/>
        <v>37110</v>
      </c>
      <c r="G43" t="str">
        <f t="shared" si="1"/>
        <v>Revenue Focus</v>
      </c>
    </row>
    <row r="44" spans="1:7" x14ac:dyDescent="0.3">
      <c r="A44" s="5" t="s">
        <v>69</v>
      </c>
      <c r="B44" s="2">
        <v>259490</v>
      </c>
      <c r="C44" s="2">
        <v>29660</v>
      </c>
      <c r="D44" s="2">
        <v>6</v>
      </c>
      <c r="E44" s="3">
        <v>0.1143011291379244</v>
      </c>
      <c r="F44">
        <f t="shared" si="0"/>
        <v>43248.333333333336</v>
      </c>
      <c r="G44" t="str">
        <f t="shared" si="1"/>
        <v>Revenue Focus</v>
      </c>
    </row>
    <row r="45" spans="1:7" x14ac:dyDescent="0.3">
      <c r="A45" s="5" t="s">
        <v>65</v>
      </c>
      <c r="B45" s="2">
        <v>257172</v>
      </c>
      <c r="C45" s="2">
        <v>33004</v>
      </c>
      <c r="D45" s="2">
        <v>7</v>
      </c>
      <c r="E45" s="3">
        <v>0.12833434432986485</v>
      </c>
      <c r="F45">
        <f t="shared" si="0"/>
        <v>36738.857142857145</v>
      </c>
      <c r="G45" t="str">
        <f t="shared" si="1"/>
        <v>Revenue Focus</v>
      </c>
    </row>
    <row r="46" spans="1:7" x14ac:dyDescent="0.3">
      <c r="A46" s="5" t="s">
        <v>71</v>
      </c>
      <c r="B46" s="2">
        <v>256653</v>
      </c>
      <c r="C46" s="2">
        <v>23854</v>
      </c>
      <c r="D46" s="2">
        <v>5</v>
      </c>
      <c r="E46" s="3">
        <v>9.294261122994861E-2</v>
      </c>
      <c r="F46">
        <f t="shared" si="0"/>
        <v>51330.6</v>
      </c>
      <c r="G46" t="str">
        <f t="shared" si="1"/>
        <v>Revenue Focus</v>
      </c>
    </row>
    <row r="47" spans="1:7" x14ac:dyDescent="0.3">
      <c r="A47" s="5" t="s">
        <v>112</v>
      </c>
      <c r="B47" s="2">
        <v>251892</v>
      </c>
      <c r="C47" s="2">
        <v>47156</v>
      </c>
      <c r="D47" s="2">
        <v>13</v>
      </c>
      <c r="E47" s="3">
        <v>0.1872072157908945</v>
      </c>
      <c r="F47">
        <f t="shared" si="0"/>
        <v>19376.307692307691</v>
      </c>
      <c r="G47" t="str">
        <f t="shared" si="1"/>
        <v>High Value</v>
      </c>
    </row>
    <row r="48" spans="1:7" x14ac:dyDescent="0.3">
      <c r="A48" s="5" t="s">
        <v>138</v>
      </c>
      <c r="B48" s="2">
        <v>249330</v>
      </c>
      <c r="C48" s="2">
        <v>12269.5</v>
      </c>
      <c r="D48" s="2">
        <v>7</v>
      </c>
      <c r="E48" s="3">
        <v>4.9209882485059961E-2</v>
      </c>
      <c r="F48">
        <f t="shared" si="0"/>
        <v>35618.571428571428</v>
      </c>
      <c r="G48" t="str">
        <f t="shared" si="1"/>
        <v>Revenue Focus</v>
      </c>
    </row>
    <row r="49" spans="1:7" x14ac:dyDescent="0.3">
      <c r="A49" s="5" t="s">
        <v>119</v>
      </c>
      <c r="B49" s="2">
        <v>248480</v>
      </c>
      <c r="C49" s="2">
        <v>12640</v>
      </c>
      <c r="D49" s="2">
        <v>8</v>
      </c>
      <c r="E49" s="3">
        <v>5.0869285254346426E-2</v>
      </c>
      <c r="F49">
        <f t="shared" si="0"/>
        <v>31060</v>
      </c>
      <c r="G49" t="str">
        <f t="shared" si="1"/>
        <v>Revenue Focus</v>
      </c>
    </row>
    <row r="50" spans="1:7" x14ac:dyDescent="0.3">
      <c r="A50" s="5" t="s">
        <v>139</v>
      </c>
      <c r="B50" s="2">
        <v>248076</v>
      </c>
      <c r="C50" s="2">
        <v>10477.5</v>
      </c>
      <c r="D50" s="2">
        <v>6</v>
      </c>
      <c r="E50" s="3">
        <v>4.2235040874570695E-2</v>
      </c>
      <c r="F50">
        <f t="shared" si="0"/>
        <v>41346</v>
      </c>
      <c r="G50" t="str">
        <f t="shared" si="1"/>
        <v>Revenue Focus</v>
      </c>
    </row>
    <row r="51" spans="1:7" x14ac:dyDescent="0.3">
      <c r="A51" s="5" t="s">
        <v>126</v>
      </c>
      <c r="B51" s="2">
        <v>246414</v>
      </c>
      <c r="C51" s="2">
        <v>-712</v>
      </c>
      <c r="D51" s="2">
        <v>5</v>
      </c>
      <c r="E51" s="3">
        <v>-2.8894462165299051E-3</v>
      </c>
      <c r="F51">
        <f t="shared" si="0"/>
        <v>49282.8</v>
      </c>
      <c r="G51" t="str">
        <f t="shared" si="1"/>
        <v>Revenue Focus</v>
      </c>
    </row>
    <row r="52" spans="1:7" x14ac:dyDescent="0.3">
      <c r="A52" s="5" t="s">
        <v>128</v>
      </c>
      <c r="B52" s="2">
        <v>239505</v>
      </c>
      <c r="C52" s="2">
        <v>42459</v>
      </c>
      <c r="D52" s="2">
        <v>6</v>
      </c>
      <c r="E52" s="3">
        <v>0.17727813615582139</v>
      </c>
      <c r="F52">
        <f t="shared" si="0"/>
        <v>39917.5</v>
      </c>
      <c r="G52" t="str">
        <f t="shared" si="1"/>
        <v>High Value</v>
      </c>
    </row>
    <row r="53" spans="1:7" x14ac:dyDescent="0.3">
      <c r="A53" s="5" t="s">
        <v>87</v>
      </c>
      <c r="B53" s="2">
        <v>238155</v>
      </c>
      <c r="C53" s="2">
        <v>30660</v>
      </c>
      <c r="D53" s="2">
        <v>6</v>
      </c>
      <c r="E53" s="3">
        <v>0.12873968633872898</v>
      </c>
      <c r="F53">
        <f t="shared" si="0"/>
        <v>39692.5</v>
      </c>
      <c r="G53" t="str">
        <f t="shared" si="1"/>
        <v>Revenue Focus</v>
      </c>
    </row>
    <row r="54" spans="1:7" x14ac:dyDescent="0.3">
      <c r="A54" s="5" t="s">
        <v>67</v>
      </c>
      <c r="B54" s="2">
        <v>238150</v>
      </c>
      <c r="C54" s="2">
        <v>28320</v>
      </c>
      <c r="D54" s="2">
        <v>5</v>
      </c>
      <c r="E54" s="3">
        <v>0.11891664917069074</v>
      </c>
      <c r="F54">
        <f t="shared" si="0"/>
        <v>47630</v>
      </c>
      <c r="G54" t="str">
        <f t="shared" si="1"/>
        <v>Revenue Focus</v>
      </c>
    </row>
    <row r="55" spans="1:7" x14ac:dyDescent="0.3">
      <c r="A55" s="5" t="s">
        <v>90</v>
      </c>
      <c r="B55" s="2">
        <v>236280</v>
      </c>
      <c r="C55" s="2">
        <v>16650</v>
      </c>
      <c r="D55" s="2">
        <v>4</v>
      </c>
      <c r="E55" s="3">
        <v>7.0467242254951754E-2</v>
      </c>
      <c r="F55">
        <f t="shared" si="0"/>
        <v>59070</v>
      </c>
      <c r="G55" t="str">
        <f t="shared" si="1"/>
        <v>Revenue Focus</v>
      </c>
    </row>
    <row r="56" spans="1:7" x14ac:dyDescent="0.3">
      <c r="A56" s="5" t="s">
        <v>152</v>
      </c>
      <c r="B56" s="2">
        <v>232525</v>
      </c>
      <c r="C56" s="2">
        <v>6062.5</v>
      </c>
      <c r="D56" s="2">
        <v>4</v>
      </c>
      <c r="E56" s="3">
        <v>2.6072465326309E-2</v>
      </c>
      <c r="F56">
        <f t="shared" si="0"/>
        <v>58131.25</v>
      </c>
      <c r="G56" t="str">
        <f t="shared" si="1"/>
        <v>Revenue Focus</v>
      </c>
    </row>
    <row r="57" spans="1:7" x14ac:dyDescent="0.3">
      <c r="A57" s="5" t="s">
        <v>153</v>
      </c>
      <c r="B57" s="2">
        <v>223425</v>
      </c>
      <c r="C57" s="2">
        <v>30375</v>
      </c>
      <c r="D57" s="2">
        <v>5</v>
      </c>
      <c r="E57" s="3">
        <v>0.13595166163141995</v>
      </c>
      <c r="F57">
        <f t="shared" si="0"/>
        <v>44685</v>
      </c>
      <c r="G57" t="str">
        <f t="shared" si="1"/>
        <v>High Value</v>
      </c>
    </row>
    <row r="58" spans="1:7" x14ac:dyDescent="0.3">
      <c r="A58" s="5" t="s">
        <v>127</v>
      </c>
      <c r="B58" s="2">
        <v>223060</v>
      </c>
      <c r="C58" s="2">
        <v>-4780</v>
      </c>
      <c r="D58" s="2">
        <v>2</v>
      </c>
      <c r="E58" s="3">
        <v>-2.1429211871245406E-2</v>
      </c>
      <c r="F58">
        <f t="shared" si="0"/>
        <v>111530</v>
      </c>
      <c r="G58" t="str">
        <f t="shared" si="1"/>
        <v>Revenue Focus</v>
      </c>
    </row>
    <row r="59" spans="1:7" x14ac:dyDescent="0.3">
      <c r="A59" s="5" t="s">
        <v>47</v>
      </c>
      <c r="B59" s="2">
        <v>222471</v>
      </c>
      <c r="C59" s="2">
        <v>25968</v>
      </c>
      <c r="D59" s="2">
        <v>8</v>
      </c>
      <c r="E59" s="3">
        <v>0.11672532599754575</v>
      </c>
      <c r="F59">
        <f t="shared" si="0"/>
        <v>27808.875</v>
      </c>
      <c r="G59" t="str">
        <f t="shared" si="1"/>
        <v>Revenue Focus</v>
      </c>
    </row>
    <row r="60" spans="1:7" x14ac:dyDescent="0.3">
      <c r="A60" s="5" t="s">
        <v>54</v>
      </c>
      <c r="B60" s="2">
        <v>220810</v>
      </c>
      <c r="C60" s="2">
        <v>27500</v>
      </c>
      <c r="D60" s="2">
        <v>6</v>
      </c>
      <c r="E60" s="3">
        <v>0.12454146098455686</v>
      </c>
      <c r="F60">
        <f t="shared" si="0"/>
        <v>36801.666666666664</v>
      </c>
      <c r="G60" t="str">
        <f t="shared" si="1"/>
        <v>Revenue Focus</v>
      </c>
    </row>
    <row r="61" spans="1:7" x14ac:dyDescent="0.3">
      <c r="A61" s="5" t="s">
        <v>107</v>
      </c>
      <c r="B61" s="2">
        <v>214520</v>
      </c>
      <c r="C61" s="2">
        <v>35207.5</v>
      </c>
      <c r="D61" s="2">
        <v>9</v>
      </c>
      <c r="E61" s="3">
        <v>0.16412222636584001</v>
      </c>
      <c r="F61">
        <f t="shared" si="0"/>
        <v>23835.555555555555</v>
      </c>
      <c r="G61" t="str">
        <f t="shared" si="1"/>
        <v>High Value</v>
      </c>
    </row>
    <row r="62" spans="1:7" x14ac:dyDescent="0.3">
      <c r="A62" s="5" t="s">
        <v>132</v>
      </c>
      <c r="B62" s="2">
        <v>213360</v>
      </c>
      <c r="C62" s="2">
        <v>37450</v>
      </c>
      <c r="D62" s="2">
        <v>7</v>
      </c>
      <c r="E62" s="3">
        <v>0.1755249343832021</v>
      </c>
      <c r="F62">
        <f t="shared" si="0"/>
        <v>30480</v>
      </c>
      <c r="G62" t="str">
        <f t="shared" si="1"/>
        <v>High Value</v>
      </c>
    </row>
    <row r="63" spans="1:7" x14ac:dyDescent="0.3">
      <c r="A63" s="5" t="s">
        <v>64</v>
      </c>
      <c r="B63" s="2">
        <v>212380</v>
      </c>
      <c r="C63" s="2">
        <v>2870</v>
      </c>
      <c r="D63" s="2">
        <v>4</v>
      </c>
      <c r="E63" s="3">
        <v>1.3513513513513514E-2</v>
      </c>
      <c r="F63">
        <f t="shared" si="0"/>
        <v>53095</v>
      </c>
      <c r="G63" t="str">
        <f t="shared" si="1"/>
        <v>Revenue Focus</v>
      </c>
    </row>
    <row r="64" spans="1:7" x14ac:dyDescent="0.3">
      <c r="A64" s="5" t="s">
        <v>118</v>
      </c>
      <c r="B64" s="2">
        <v>209490</v>
      </c>
      <c r="C64" s="2">
        <v>24700</v>
      </c>
      <c r="D64" s="2">
        <v>5</v>
      </c>
      <c r="E64" s="3">
        <v>0.11790538927872452</v>
      </c>
      <c r="F64">
        <f t="shared" si="0"/>
        <v>41898</v>
      </c>
      <c r="G64" t="str">
        <f t="shared" si="1"/>
        <v>Revenue Focus</v>
      </c>
    </row>
    <row r="65" spans="1:7" x14ac:dyDescent="0.3">
      <c r="A65" s="5" t="s">
        <v>172</v>
      </c>
      <c r="B65" s="2">
        <v>209000</v>
      </c>
      <c r="C65" s="2">
        <v>28600</v>
      </c>
      <c r="D65" s="2">
        <v>1</v>
      </c>
      <c r="E65" s="3">
        <v>0.1368421052631579</v>
      </c>
      <c r="F65">
        <f t="shared" si="0"/>
        <v>209000</v>
      </c>
      <c r="G65" t="str">
        <f t="shared" si="1"/>
        <v>High Value</v>
      </c>
    </row>
    <row r="66" spans="1:7" x14ac:dyDescent="0.3">
      <c r="A66" s="5" t="s">
        <v>160</v>
      </c>
      <c r="B66" s="2">
        <v>208000</v>
      </c>
      <c r="C66" s="2">
        <v>33200</v>
      </c>
      <c r="D66" s="2">
        <v>3</v>
      </c>
      <c r="E66" s="3">
        <v>0.1596153846153846</v>
      </c>
      <c r="F66">
        <f t="shared" si="0"/>
        <v>69333.333333333328</v>
      </c>
      <c r="G66" t="str">
        <f t="shared" si="1"/>
        <v>High Value</v>
      </c>
    </row>
    <row r="67" spans="1:7" x14ac:dyDescent="0.3">
      <c r="A67" s="5" t="s">
        <v>62</v>
      </c>
      <c r="B67" s="2">
        <v>194040</v>
      </c>
      <c r="C67" s="2">
        <v>13350</v>
      </c>
      <c r="D67" s="2">
        <v>5</v>
      </c>
      <c r="E67" s="3">
        <v>6.8800247371675949E-2</v>
      </c>
      <c r="F67">
        <f t="shared" si="0"/>
        <v>38808</v>
      </c>
      <c r="G67" t="str">
        <f t="shared" si="1"/>
        <v>Revenue Focus</v>
      </c>
    </row>
    <row r="68" spans="1:7" x14ac:dyDescent="0.3">
      <c r="A68" s="5" t="s">
        <v>171</v>
      </c>
      <c r="B68" s="2">
        <v>194020</v>
      </c>
      <c r="C68" s="2">
        <v>8940</v>
      </c>
      <c r="D68" s="2">
        <v>3</v>
      </c>
      <c r="E68" s="3">
        <v>4.6077723945984951E-2</v>
      </c>
      <c r="F68">
        <f t="shared" si="0"/>
        <v>64673.333333333336</v>
      </c>
      <c r="G68" t="str">
        <f t="shared" si="1"/>
        <v>Revenue Focus</v>
      </c>
    </row>
    <row r="69" spans="1:7" x14ac:dyDescent="0.3">
      <c r="A69" s="5" t="s">
        <v>49</v>
      </c>
      <c r="B69" s="2">
        <v>190200</v>
      </c>
      <c r="C69" s="2">
        <v>39960</v>
      </c>
      <c r="D69" s="2">
        <v>3</v>
      </c>
      <c r="E69" s="3">
        <v>0.21009463722397476</v>
      </c>
      <c r="F69">
        <f t="shared" ref="F69:F132" si="2">B69/D69</f>
        <v>63400</v>
      </c>
      <c r="G69" t="str">
        <f t="shared" ref="G69:G132" si="3">IF(B69&gt;=168370,IF(E69&gt;=0.1355,"High Value","Revenue Focus"),IF(E69&gt;=0.1355,"Margin Focus","Low Value"))</f>
        <v>High Value</v>
      </c>
    </row>
    <row r="70" spans="1:7" x14ac:dyDescent="0.3">
      <c r="A70" s="5" t="s">
        <v>29</v>
      </c>
      <c r="B70" s="2">
        <v>186212.5</v>
      </c>
      <c r="C70" s="2">
        <v>8130</v>
      </c>
      <c r="D70" s="2">
        <v>8</v>
      </c>
      <c r="E70" s="3">
        <v>4.365979727461905E-2</v>
      </c>
      <c r="F70">
        <f t="shared" si="2"/>
        <v>23276.5625</v>
      </c>
      <c r="G70" t="str">
        <f t="shared" si="3"/>
        <v>Revenue Focus</v>
      </c>
    </row>
    <row r="71" spans="1:7" x14ac:dyDescent="0.3">
      <c r="A71" s="5" t="s">
        <v>161</v>
      </c>
      <c r="B71" s="2">
        <v>184927.5</v>
      </c>
      <c r="C71" s="2">
        <v>27219</v>
      </c>
      <c r="D71" s="2">
        <v>5</v>
      </c>
      <c r="E71" s="3">
        <v>0.14718741128280002</v>
      </c>
      <c r="F71">
        <f t="shared" si="2"/>
        <v>36985.5</v>
      </c>
      <c r="G71" t="str">
        <f t="shared" si="3"/>
        <v>High Value</v>
      </c>
    </row>
    <row r="72" spans="1:7" x14ac:dyDescent="0.3">
      <c r="A72" s="5" t="s">
        <v>32</v>
      </c>
      <c r="B72" s="2">
        <v>184875</v>
      </c>
      <c r="C72" s="2">
        <v>30139</v>
      </c>
      <c r="D72" s="2">
        <v>7</v>
      </c>
      <c r="E72" s="3">
        <v>0.16302366463826909</v>
      </c>
      <c r="F72">
        <f t="shared" si="2"/>
        <v>26410.714285714286</v>
      </c>
      <c r="G72" t="str">
        <f t="shared" si="3"/>
        <v>High Value</v>
      </c>
    </row>
    <row r="73" spans="1:7" x14ac:dyDescent="0.3">
      <c r="A73" s="5" t="s">
        <v>10</v>
      </c>
      <c r="B73" s="2">
        <v>179503</v>
      </c>
      <c r="C73" s="2">
        <v>29340</v>
      </c>
      <c r="D73" s="2">
        <v>8</v>
      </c>
      <c r="E73" s="3">
        <v>0.16345130722049214</v>
      </c>
      <c r="F73">
        <f t="shared" si="2"/>
        <v>22437.875</v>
      </c>
      <c r="G73" t="str">
        <f t="shared" si="3"/>
        <v>High Value</v>
      </c>
    </row>
    <row r="74" spans="1:7" x14ac:dyDescent="0.3">
      <c r="A74" s="5" t="s">
        <v>116</v>
      </c>
      <c r="B74" s="2">
        <v>178230</v>
      </c>
      <c r="C74" s="2">
        <v>8920</v>
      </c>
      <c r="D74" s="2">
        <v>5</v>
      </c>
      <c r="E74" s="3">
        <v>5.0047691185546764E-2</v>
      </c>
      <c r="F74">
        <f t="shared" si="2"/>
        <v>35646</v>
      </c>
      <c r="G74" t="str">
        <f t="shared" si="3"/>
        <v>Revenue Focus</v>
      </c>
    </row>
    <row r="75" spans="1:7" x14ac:dyDescent="0.3">
      <c r="A75" s="5" t="s">
        <v>14</v>
      </c>
      <c r="B75" s="2">
        <v>177540</v>
      </c>
      <c r="C75" s="2">
        <v>44850</v>
      </c>
      <c r="D75" s="2">
        <v>7</v>
      </c>
      <c r="E75" s="3">
        <v>0.25261912808381209</v>
      </c>
      <c r="F75">
        <f t="shared" si="2"/>
        <v>25362.857142857141</v>
      </c>
      <c r="G75" t="str">
        <f t="shared" si="3"/>
        <v>High Value</v>
      </c>
    </row>
    <row r="76" spans="1:7" x14ac:dyDescent="0.3">
      <c r="A76" s="5" t="s">
        <v>88</v>
      </c>
      <c r="B76" s="2">
        <v>174375</v>
      </c>
      <c r="C76" s="2">
        <v>18285</v>
      </c>
      <c r="D76" s="2">
        <v>4</v>
      </c>
      <c r="E76" s="3">
        <v>0.10486021505376344</v>
      </c>
      <c r="F76">
        <f t="shared" si="2"/>
        <v>43593.75</v>
      </c>
      <c r="G76" t="str">
        <f t="shared" si="3"/>
        <v>Revenue Focus</v>
      </c>
    </row>
    <row r="77" spans="1:7" x14ac:dyDescent="0.3">
      <c r="A77" s="5" t="s">
        <v>120</v>
      </c>
      <c r="B77" s="2">
        <v>170882</v>
      </c>
      <c r="C77" s="2">
        <v>1765.5</v>
      </c>
      <c r="D77" s="2">
        <v>5</v>
      </c>
      <c r="E77" s="3">
        <v>1.033169087440456E-2</v>
      </c>
      <c r="F77">
        <f t="shared" si="2"/>
        <v>34176.400000000001</v>
      </c>
      <c r="G77" t="str">
        <f t="shared" si="3"/>
        <v>Revenue Focus</v>
      </c>
    </row>
    <row r="78" spans="1:7" x14ac:dyDescent="0.3">
      <c r="A78" s="5" t="s">
        <v>129</v>
      </c>
      <c r="B78" s="2">
        <v>168960</v>
      </c>
      <c r="C78" s="2">
        <v>20200</v>
      </c>
      <c r="D78" s="2">
        <v>4</v>
      </c>
      <c r="E78" s="3">
        <v>0.11955492424242424</v>
      </c>
      <c r="F78">
        <f t="shared" si="2"/>
        <v>42240</v>
      </c>
      <c r="G78" t="str">
        <f t="shared" si="3"/>
        <v>Revenue Focus</v>
      </c>
    </row>
    <row r="79" spans="1:7" x14ac:dyDescent="0.3">
      <c r="A79" s="5" t="s">
        <v>147</v>
      </c>
      <c r="B79" s="2">
        <v>168370</v>
      </c>
      <c r="C79" s="2">
        <v>18500</v>
      </c>
      <c r="D79" s="2">
        <v>4</v>
      </c>
      <c r="E79" s="3">
        <v>0.10987705648274633</v>
      </c>
      <c r="F79">
        <f t="shared" si="2"/>
        <v>42092.5</v>
      </c>
      <c r="G79" t="str">
        <f t="shared" si="3"/>
        <v>Revenue Focus</v>
      </c>
    </row>
    <row r="80" spans="1:7" x14ac:dyDescent="0.3">
      <c r="A80" s="5" t="s">
        <v>168</v>
      </c>
      <c r="B80" s="2">
        <v>167000</v>
      </c>
      <c r="C80" s="2">
        <v>27600</v>
      </c>
      <c r="D80" s="2">
        <v>2</v>
      </c>
      <c r="E80" s="3">
        <v>0.16526946107784432</v>
      </c>
      <c r="F80">
        <f t="shared" si="2"/>
        <v>83500</v>
      </c>
      <c r="G80" t="str">
        <f t="shared" si="3"/>
        <v>Margin Focus</v>
      </c>
    </row>
    <row r="81" spans="1:7" x14ac:dyDescent="0.3">
      <c r="A81" s="5" t="s">
        <v>31</v>
      </c>
      <c r="B81" s="2">
        <v>165728</v>
      </c>
      <c r="C81" s="2">
        <v>30847</v>
      </c>
      <c r="D81" s="2">
        <v>7</v>
      </c>
      <c r="E81" s="3">
        <v>0.18613028576945356</v>
      </c>
      <c r="F81">
        <f t="shared" si="2"/>
        <v>23675.428571428572</v>
      </c>
      <c r="G81" t="str">
        <f t="shared" si="3"/>
        <v>Margin Focus</v>
      </c>
    </row>
    <row r="82" spans="1:7" x14ac:dyDescent="0.3">
      <c r="A82" s="5" t="s">
        <v>146</v>
      </c>
      <c r="B82" s="2">
        <v>163500</v>
      </c>
      <c r="C82" s="2">
        <v>10170</v>
      </c>
      <c r="D82" s="2">
        <v>5</v>
      </c>
      <c r="E82" s="3">
        <v>6.220183486238532E-2</v>
      </c>
      <c r="F82">
        <f t="shared" si="2"/>
        <v>32700</v>
      </c>
      <c r="G82" t="str">
        <f t="shared" si="3"/>
        <v>Low Value</v>
      </c>
    </row>
    <row r="83" spans="1:7" x14ac:dyDescent="0.3">
      <c r="A83" s="5" t="s">
        <v>110</v>
      </c>
      <c r="B83" s="2">
        <v>161715</v>
      </c>
      <c r="C83" s="2">
        <v>38902.5</v>
      </c>
      <c r="D83" s="2">
        <v>7</v>
      </c>
      <c r="E83" s="3">
        <v>0.24056209999072442</v>
      </c>
      <c r="F83">
        <f t="shared" si="2"/>
        <v>23102.142857142859</v>
      </c>
      <c r="G83" t="str">
        <f t="shared" si="3"/>
        <v>Margin Focus</v>
      </c>
    </row>
    <row r="84" spans="1:7" x14ac:dyDescent="0.3">
      <c r="A84" s="5" t="s">
        <v>25</v>
      </c>
      <c r="B84" s="2">
        <v>160789.5</v>
      </c>
      <c r="C84" s="2">
        <v>13158</v>
      </c>
      <c r="D84" s="2">
        <v>6</v>
      </c>
      <c r="E84" s="3">
        <v>8.1833701827544708E-2</v>
      </c>
      <c r="F84">
        <f t="shared" si="2"/>
        <v>26798.25</v>
      </c>
      <c r="G84" t="str">
        <f t="shared" si="3"/>
        <v>Low Value</v>
      </c>
    </row>
    <row r="85" spans="1:7" x14ac:dyDescent="0.3">
      <c r="A85" s="5" t="s">
        <v>142</v>
      </c>
      <c r="B85" s="2">
        <v>156091</v>
      </c>
      <c r="C85" s="2">
        <v>32952</v>
      </c>
      <c r="D85" s="2">
        <v>5</v>
      </c>
      <c r="E85" s="3">
        <v>0.21110762311728415</v>
      </c>
      <c r="F85">
        <f t="shared" si="2"/>
        <v>31218.2</v>
      </c>
      <c r="G85" t="str">
        <f t="shared" si="3"/>
        <v>Margin Focus</v>
      </c>
    </row>
    <row r="86" spans="1:7" x14ac:dyDescent="0.3">
      <c r="A86" s="5" t="s">
        <v>28</v>
      </c>
      <c r="B86" s="2">
        <v>152145</v>
      </c>
      <c r="C86" s="2">
        <v>28755</v>
      </c>
      <c r="D86" s="2">
        <v>8</v>
      </c>
      <c r="E86" s="3">
        <v>0.18899733806566105</v>
      </c>
      <c r="F86">
        <f t="shared" si="2"/>
        <v>19018.125</v>
      </c>
      <c r="G86" t="str">
        <f t="shared" si="3"/>
        <v>Margin Focus</v>
      </c>
    </row>
    <row r="87" spans="1:7" x14ac:dyDescent="0.3">
      <c r="A87" s="5" t="s">
        <v>97</v>
      </c>
      <c r="B87" s="2">
        <v>148680</v>
      </c>
      <c r="C87" s="2">
        <v>31860</v>
      </c>
      <c r="D87" s="2">
        <v>4</v>
      </c>
      <c r="E87" s="3">
        <v>0.21428571428571427</v>
      </c>
      <c r="F87">
        <f t="shared" si="2"/>
        <v>37170</v>
      </c>
      <c r="G87" t="str">
        <f t="shared" si="3"/>
        <v>Margin Focus</v>
      </c>
    </row>
    <row r="88" spans="1:7" x14ac:dyDescent="0.3">
      <c r="A88" s="5" t="s">
        <v>48</v>
      </c>
      <c r="B88" s="2">
        <v>138059</v>
      </c>
      <c r="C88" s="2">
        <v>27774.5</v>
      </c>
      <c r="D88" s="2">
        <v>9</v>
      </c>
      <c r="E88" s="3">
        <v>0.20117848166363655</v>
      </c>
      <c r="F88">
        <f t="shared" si="2"/>
        <v>15339.888888888889</v>
      </c>
      <c r="G88" t="str">
        <f t="shared" si="3"/>
        <v>Margin Focus</v>
      </c>
    </row>
    <row r="89" spans="1:7" x14ac:dyDescent="0.3">
      <c r="A89" s="5" t="s">
        <v>92</v>
      </c>
      <c r="B89" s="2">
        <v>133975</v>
      </c>
      <c r="C89" s="2">
        <v>6450</v>
      </c>
      <c r="D89" s="2">
        <v>4</v>
      </c>
      <c r="E89" s="3">
        <v>4.8143310319089382E-2</v>
      </c>
      <c r="F89">
        <f t="shared" si="2"/>
        <v>33493.75</v>
      </c>
      <c r="G89" t="str">
        <f t="shared" si="3"/>
        <v>Low Value</v>
      </c>
    </row>
    <row r="90" spans="1:7" x14ac:dyDescent="0.3">
      <c r="A90" s="5" t="s">
        <v>55</v>
      </c>
      <c r="B90" s="2">
        <v>129751.5</v>
      </c>
      <c r="C90" s="2">
        <v>24173</v>
      </c>
      <c r="D90" s="2">
        <v>5</v>
      </c>
      <c r="E90" s="3">
        <v>0.18630227781567071</v>
      </c>
      <c r="F90">
        <f t="shared" si="2"/>
        <v>25950.3</v>
      </c>
      <c r="G90" t="str">
        <f t="shared" si="3"/>
        <v>Margin Focus</v>
      </c>
    </row>
    <row r="91" spans="1:7" x14ac:dyDescent="0.3">
      <c r="A91" s="5" t="s">
        <v>19</v>
      </c>
      <c r="B91" s="2">
        <v>128065</v>
      </c>
      <c r="C91" s="2">
        <v>15140</v>
      </c>
      <c r="D91" s="2">
        <v>5</v>
      </c>
      <c r="E91" s="3">
        <v>0.11822121578885722</v>
      </c>
      <c r="F91">
        <f t="shared" si="2"/>
        <v>25613</v>
      </c>
      <c r="G91" t="str">
        <f t="shared" si="3"/>
        <v>Low Value</v>
      </c>
    </row>
    <row r="92" spans="1:7" x14ac:dyDescent="0.3">
      <c r="A92" s="5" t="s">
        <v>151</v>
      </c>
      <c r="B92" s="2">
        <v>126277.5</v>
      </c>
      <c r="C92" s="2">
        <v>26145</v>
      </c>
      <c r="D92" s="2">
        <v>5</v>
      </c>
      <c r="E92" s="3">
        <v>0.2070440102155966</v>
      </c>
      <c r="F92">
        <f t="shared" si="2"/>
        <v>25255.5</v>
      </c>
      <c r="G92" t="str">
        <f t="shared" si="3"/>
        <v>Margin Focus</v>
      </c>
    </row>
    <row r="93" spans="1:7" x14ac:dyDescent="0.3">
      <c r="A93" s="5" t="s">
        <v>74</v>
      </c>
      <c r="B93" s="2">
        <v>125220</v>
      </c>
      <c r="C93" s="2">
        <v>24510</v>
      </c>
      <c r="D93" s="2">
        <v>6</v>
      </c>
      <c r="E93" s="3">
        <v>0.19573550551030186</v>
      </c>
      <c r="F93">
        <f t="shared" si="2"/>
        <v>20870</v>
      </c>
      <c r="G93" t="str">
        <f t="shared" si="3"/>
        <v>Margin Focus</v>
      </c>
    </row>
    <row r="94" spans="1:7" x14ac:dyDescent="0.3">
      <c r="A94" s="5" t="s">
        <v>89</v>
      </c>
      <c r="B94" s="2">
        <v>115962</v>
      </c>
      <c r="C94" s="2">
        <v>14116</v>
      </c>
      <c r="D94" s="2">
        <v>4</v>
      </c>
      <c r="E94" s="3">
        <v>0.12172953208809782</v>
      </c>
      <c r="F94">
        <f t="shared" si="2"/>
        <v>28990.5</v>
      </c>
      <c r="G94" t="str">
        <f t="shared" si="3"/>
        <v>Low Value</v>
      </c>
    </row>
    <row r="95" spans="1:7" x14ac:dyDescent="0.3">
      <c r="A95" s="5" t="s">
        <v>156</v>
      </c>
      <c r="B95" s="2">
        <v>113925</v>
      </c>
      <c r="C95" s="2">
        <v>12245</v>
      </c>
      <c r="D95" s="2">
        <v>4</v>
      </c>
      <c r="E95" s="3">
        <v>0.10748299319727891</v>
      </c>
      <c r="F95">
        <f t="shared" si="2"/>
        <v>28481.25</v>
      </c>
      <c r="G95" t="str">
        <f t="shared" si="3"/>
        <v>Low Value</v>
      </c>
    </row>
    <row r="96" spans="1:7" x14ac:dyDescent="0.3">
      <c r="A96" s="5" t="s">
        <v>79</v>
      </c>
      <c r="B96" s="2">
        <v>113887.5</v>
      </c>
      <c r="C96" s="2">
        <v>15750</v>
      </c>
      <c r="D96" s="2">
        <v>6</v>
      </c>
      <c r="E96" s="3">
        <v>0.1382943694435298</v>
      </c>
      <c r="F96">
        <f t="shared" si="2"/>
        <v>18981.25</v>
      </c>
      <c r="G96" t="str">
        <f t="shared" si="3"/>
        <v>Margin Focus</v>
      </c>
    </row>
    <row r="97" spans="1:7" x14ac:dyDescent="0.3">
      <c r="A97" s="5" t="s">
        <v>35</v>
      </c>
      <c r="B97" s="2">
        <v>112920</v>
      </c>
      <c r="C97" s="2">
        <v>23844</v>
      </c>
      <c r="D97" s="2">
        <v>7</v>
      </c>
      <c r="E97" s="3">
        <v>0.21115834218916046</v>
      </c>
      <c r="F97">
        <f t="shared" si="2"/>
        <v>16131.428571428571</v>
      </c>
      <c r="G97" t="str">
        <f t="shared" si="3"/>
        <v>Margin Focus</v>
      </c>
    </row>
    <row r="98" spans="1:7" x14ac:dyDescent="0.3">
      <c r="A98" s="5" t="s">
        <v>130</v>
      </c>
      <c r="B98" s="2">
        <v>109936</v>
      </c>
      <c r="C98" s="2">
        <v>18699</v>
      </c>
      <c r="D98" s="2">
        <v>6</v>
      </c>
      <c r="E98" s="3">
        <v>0.17008987047009169</v>
      </c>
      <c r="F98">
        <f t="shared" si="2"/>
        <v>18322.666666666668</v>
      </c>
      <c r="G98" t="str">
        <f t="shared" si="3"/>
        <v>Margin Focus</v>
      </c>
    </row>
    <row r="99" spans="1:7" x14ac:dyDescent="0.3">
      <c r="A99" s="5" t="s">
        <v>60</v>
      </c>
      <c r="B99" s="2">
        <v>109730</v>
      </c>
      <c r="C99" s="2">
        <v>13110</v>
      </c>
      <c r="D99" s="2">
        <v>4</v>
      </c>
      <c r="E99" s="3">
        <v>0.11947507518454388</v>
      </c>
      <c r="F99">
        <f t="shared" si="2"/>
        <v>27432.5</v>
      </c>
      <c r="G99" t="str">
        <f t="shared" si="3"/>
        <v>Low Value</v>
      </c>
    </row>
    <row r="100" spans="1:7" x14ac:dyDescent="0.3">
      <c r="A100" s="5" t="s">
        <v>58</v>
      </c>
      <c r="B100" s="2">
        <v>109245</v>
      </c>
      <c r="C100" s="2">
        <v>7130</v>
      </c>
      <c r="D100" s="2">
        <v>5</v>
      </c>
      <c r="E100" s="3">
        <v>6.5266144903656911E-2</v>
      </c>
      <c r="F100">
        <f t="shared" si="2"/>
        <v>21849</v>
      </c>
      <c r="G100" t="str">
        <f t="shared" si="3"/>
        <v>Low Value</v>
      </c>
    </row>
    <row r="101" spans="1:7" x14ac:dyDescent="0.3">
      <c r="A101" s="5" t="s">
        <v>111</v>
      </c>
      <c r="B101" s="2">
        <v>105420</v>
      </c>
      <c r="C101" s="2">
        <v>4680</v>
      </c>
      <c r="D101" s="2">
        <v>2</v>
      </c>
      <c r="E101" s="3">
        <v>4.4393853158793399E-2</v>
      </c>
      <c r="F101">
        <f t="shared" si="2"/>
        <v>52710</v>
      </c>
      <c r="G101" t="str">
        <f t="shared" si="3"/>
        <v>Low Value</v>
      </c>
    </row>
    <row r="102" spans="1:7" x14ac:dyDescent="0.3">
      <c r="A102" s="5" t="s">
        <v>38</v>
      </c>
      <c r="B102" s="2">
        <v>102625</v>
      </c>
      <c r="C102" s="2">
        <v>19035</v>
      </c>
      <c r="D102" s="2">
        <v>7</v>
      </c>
      <c r="E102" s="3">
        <v>0.18548112058465285</v>
      </c>
      <c r="F102">
        <f t="shared" si="2"/>
        <v>14660.714285714286</v>
      </c>
      <c r="G102" t="str">
        <f t="shared" si="3"/>
        <v>Margin Focus</v>
      </c>
    </row>
    <row r="103" spans="1:7" x14ac:dyDescent="0.3">
      <c r="A103" s="5" t="s">
        <v>82</v>
      </c>
      <c r="B103" s="2">
        <v>98130</v>
      </c>
      <c r="C103" s="2">
        <v>10160</v>
      </c>
      <c r="D103" s="2">
        <v>4</v>
      </c>
      <c r="E103" s="3">
        <v>0.10353612554774279</v>
      </c>
      <c r="F103">
        <f t="shared" si="2"/>
        <v>24532.5</v>
      </c>
      <c r="G103" t="str">
        <f t="shared" si="3"/>
        <v>Low Value</v>
      </c>
    </row>
    <row r="104" spans="1:7" x14ac:dyDescent="0.3">
      <c r="A104" s="5" t="s">
        <v>109</v>
      </c>
      <c r="B104" s="2">
        <v>95785</v>
      </c>
      <c r="C104" s="2">
        <v>18350</v>
      </c>
      <c r="D104" s="2">
        <v>7</v>
      </c>
      <c r="E104" s="3">
        <v>0.19157488124445374</v>
      </c>
      <c r="F104">
        <f t="shared" si="2"/>
        <v>13683.571428571429</v>
      </c>
      <c r="G104" t="str">
        <f t="shared" si="3"/>
        <v>Margin Focus</v>
      </c>
    </row>
    <row r="105" spans="1:7" x14ac:dyDescent="0.3">
      <c r="A105" s="5" t="s">
        <v>81</v>
      </c>
      <c r="B105" s="2">
        <v>93990</v>
      </c>
      <c r="C105" s="2">
        <v>19615</v>
      </c>
      <c r="D105" s="2">
        <v>10</v>
      </c>
      <c r="E105" s="3">
        <v>0.20869241408660497</v>
      </c>
      <c r="F105">
        <f t="shared" si="2"/>
        <v>9399</v>
      </c>
      <c r="G105" t="str">
        <f t="shared" si="3"/>
        <v>Margin Focus</v>
      </c>
    </row>
    <row r="106" spans="1:7" x14ac:dyDescent="0.3">
      <c r="A106" s="5" t="s">
        <v>61</v>
      </c>
      <c r="B106" s="2">
        <v>93435</v>
      </c>
      <c r="C106" s="2">
        <v>14979</v>
      </c>
      <c r="D106" s="2">
        <v>6</v>
      </c>
      <c r="E106" s="3">
        <v>0.16031465724835448</v>
      </c>
      <c r="F106">
        <f t="shared" si="2"/>
        <v>15572.5</v>
      </c>
      <c r="G106" t="str">
        <f t="shared" si="3"/>
        <v>Margin Focus</v>
      </c>
    </row>
    <row r="107" spans="1:7" x14ac:dyDescent="0.3">
      <c r="A107" s="5" t="s">
        <v>117</v>
      </c>
      <c r="B107" s="2">
        <v>92120</v>
      </c>
      <c r="C107" s="2">
        <v>20500</v>
      </c>
      <c r="D107" s="2">
        <v>6</v>
      </c>
      <c r="E107" s="3">
        <v>0.22253582283977422</v>
      </c>
      <c r="F107">
        <f t="shared" si="2"/>
        <v>15353.333333333334</v>
      </c>
      <c r="G107" t="str">
        <f t="shared" si="3"/>
        <v>Margin Focus</v>
      </c>
    </row>
    <row r="108" spans="1:7" x14ac:dyDescent="0.3">
      <c r="A108" s="5" t="s">
        <v>39</v>
      </c>
      <c r="B108" s="2">
        <v>90742.5</v>
      </c>
      <c r="C108" s="2">
        <v>21685</v>
      </c>
      <c r="D108" s="2">
        <v>6</v>
      </c>
      <c r="E108" s="3">
        <v>0.23897291787200045</v>
      </c>
      <c r="F108">
        <f t="shared" si="2"/>
        <v>15123.75</v>
      </c>
      <c r="G108" t="str">
        <f t="shared" si="3"/>
        <v>Margin Focus</v>
      </c>
    </row>
    <row r="109" spans="1:7" x14ac:dyDescent="0.3">
      <c r="A109" s="5" t="s">
        <v>45</v>
      </c>
      <c r="B109" s="2">
        <v>89430</v>
      </c>
      <c r="C109" s="2">
        <v>17380</v>
      </c>
      <c r="D109" s="2">
        <v>7</v>
      </c>
      <c r="E109" s="3">
        <v>0.1943419434194342</v>
      </c>
      <c r="F109">
        <f t="shared" si="2"/>
        <v>12775.714285714286</v>
      </c>
      <c r="G109" t="str">
        <f t="shared" si="3"/>
        <v>Margin Focus</v>
      </c>
    </row>
    <row r="110" spans="1:7" x14ac:dyDescent="0.3">
      <c r="A110" s="5" t="s">
        <v>167</v>
      </c>
      <c r="B110" s="2">
        <v>88380</v>
      </c>
      <c r="C110" s="2">
        <v>12240</v>
      </c>
      <c r="D110" s="2">
        <v>2</v>
      </c>
      <c r="E110" s="3">
        <v>0.1384928716904277</v>
      </c>
      <c r="F110">
        <f t="shared" si="2"/>
        <v>44190</v>
      </c>
      <c r="G110" t="str">
        <f t="shared" si="3"/>
        <v>Margin Focus</v>
      </c>
    </row>
    <row r="111" spans="1:7" x14ac:dyDescent="0.3">
      <c r="A111" s="5" t="s">
        <v>125</v>
      </c>
      <c r="B111" s="2">
        <v>87957.5</v>
      </c>
      <c r="C111" s="2">
        <v>8100</v>
      </c>
      <c r="D111" s="2">
        <v>5</v>
      </c>
      <c r="E111" s="3">
        <v>9.2089929795639944E-2</v>
      </c>
      <c r="F111">
        <f t="shared" si="2"/>
        <v>17591.5</v>
      </c>
      <c r="G111" t="str">
        <f t="shared" si="3"/>
        <v>Low Value</v>
      </c>
    </row>
    <row r="112" spans="1:7" x14ac:dyDescent="0.3">
      <c r="A112" s="5" t="s">
        <v>95</v>
      </c>
      <c r="B112" s="2">
        <v>87360</v>
      </c>
      <c r="C112" s="2">
        <v>18300</v>
      </c>
      <c r="D112" s="2">
        <v>4</v>
      </c>
      <c r="E112" s="3">
        <v>0.20947802197802198</v>
      </c>
      <c r="F112">
        <f t="shared" si="2"/>
        <v>21840</v>
      </c>
      <c r="G112" t="str">
        <f t="shared" si="3"/>
        <v>Margin Focus</v>
      </c>
    </row>
    <row r="113" spans="1:7" x14ac:dyDescent="0.3">
      <c r="A113" s="5" t="s">
        <v>77</v>
      </c>
      <c r="B113" s="2">
        <v>82180</v>
      </c>
      <c r="C113" s="2">
        <v>15480</v>
      </c>
      <c r="D113" s="2">
        <v>6</v>
      </c>
      <c r="E113" s="3">
        <v>0.18836699926989536</v>
      </c>
      <c r="F113">
        <f t="shared" si="2"/>
        <v>13696.666666666666</v>
      </c>
      <c r="G113" t="str">
        <f t="shared" si="3"/>
        <v>Margin Focus</v>
      </c>
    </row>
    <row r="114" spans="1:7" x14ac:dyDescent="0.3">
      <c r="A114" s="5" t="s">
        <v>57</v>
      </c>
      <c r="B114" s="2">
        <v>82117.5</v>
      </c>
      <c r="C114" s="2">
        <v>14775</v>
      </c>
      <c r="D114" s="2">
        <v>7</v>
      </c>
      <c r="E114" s="3">
        <v>0.1799251073157366</v>
      </c>
      <c r="F114">
        <f t="shared" si="2"/>
        <v>11731.071428571429</v>
      </c>
      <c r="G114" t="str">
        <f t="shared" si="3"/>
        <v>Margin Focus</v>
      </c>
    </row>
    <row r="115" spans="1:7" x14ac:dyDescent="0.3">
      <c r="A115" s="5" t="s">
        <v>66</v>
      </c>
      <c r="B115" s="2">
        <v>80575</v>
      </c>
      <c r="C115" s="2">
        <v>16590</v>
      </c>
      <c r="D115" s="2">
        <v>6</v>
      </c>
      <c r="E115" s="3">
        <v>0.20589512876202296</v>
      </c>
      <c r="F115">
        <f t="shared" si="2"/>
        <v>13429.166666666666</v>
      </c>
      <c r="G115" t="str">
        <f t="shared" si="3"/>
        <v>Margin Focus</v>
      </c>
    </row>
    <row r="116" spans="1:7" x14ac:dyDescent="0.3">
      <c r="A116" s="5" t="s">
        <v>50</v>
      </c>
      <c r="B116" s="2">
        <v>80270</v>
      </c>
      <c r="C116" s="2">
        <v>9420</v>
      </c>
      <c r="D116" s="2">
        <v>5</v>
      </c>
      <c r="E116" s="3">
        <v>0.11735393048461443</v>
      </c>
      <c r="F116">
        <f t="shared" si="2"/>
        <v>16054</v>
      </c>
      <c r="G116" t="str">
        <f t="shared" si="3"/>
        <v>Low Value</v>
      </c>
    </row>
    <row r="117" spans="1:7" x14ac:dyDescent="0.3">
      <c r="A117" s="5" t="s">
        <v>44</v>
      </c>
      <c r="B117" s="2">
        <v>76785</v>
      </c>
      <c r="C117" s="2">
        <v>4325</v>
      </c>
      <c r="D117" s="2">
        <v>5</v>
      </c>
      <c r="E117" s="3">
        <v>5.6326105359119617E-2</v>
      </c>
      <c r="F117">
        <f t="shared" si="2"/>
        <v>15357</v>
      </c>
      <c r="G117" t="str">
        <f t="shared" si="3"/>
        <v>Low Value</v>
      </c>
    </row>
    <row r="118" spans="1:7" x14ac:dyDescent="0.3">
      <c r="A118" s="5" t="s">
        <v>43</v>
      </c>
      <c r="B118" s="2">
        <v>76575</v>
      </c>
      <c r="C118" s="2">
        <v>18657.5</v>
      </c>
      <c r="D118" s="2">
        <v>8</v>
      </c>
      <c r="E118" s="3">
        <v>0.24365001632386549</v>
      </c>
      <c r="F118">
        <f t="shared" si="2"/>
        <v>9571.875</v>
      </c>
      <c r="G118" t="str">
        <f t="shared" si="3"/>
        <v>Margin Focus</v>
      </c>
    </row>
    <row r="119" spans="1:7" x14ac:dyDescent="0.3">
      <c r="A119" s="5" t="s">
        <v>178</v>
      </c>
      <c r="B119" s="2">
        <v>76500</v>
      </c>
      <c r="C119" s="2">
        <v>14850</v>
      </c>
      <c r="D119" s="2">
        <v>2</v>
      </c>
      <c r="E119" s="3">
        <v>0.19411764705882353</v>
      </c>
      <c r="F119">
        <f t="shared" si="2"/>
        <v>38250</v>
      </c>
      <c r="G119" t="str">
        <f t="shared" si="3"/>
        <v>Margin Focus</v>
      </c>
    </row>
    <row r="120" spans="1:7" x14ac:dyDescent="0.3">
      <c r="A120" s="5" t="s">
        <v>176</v>
      </c>
      <c r="B120" s="2">
        <v>75375</v>
      </c>
      <c r="C120" s="2">
        <v>13725</v>
      </c>
      <c r="D120" s="2">
        <v>2</v>
      </c>
      <c r="E120" s="3">
        <v>0.18208955223880596</v>
      </c>
      <c r="F120">
        <f t="shared" si="2"/>
        <v>37687.5</v>
      </c>
      <c r="G120" t="str">
        <f t="shared" si="3"/>
        <v>Margin Focus</v>
      </c>
    </row>
    <row r="121" spans="1:7" x14ac:dyDescent="0.3">
      <c r="A121" s="5" t="s">
        <v>158</v>
      </c>
      <c r="B121" s="2">
        <v>75105</v>
      </c>
      <c r="C121" s="2">
        <v>16245</v>
      </c>
      <c r="D121" s="2">
        <v>4</v>
      </c>
      <c r="E121" s="3">
        <v>0.21629718394248051</v>
      </c>
      <c r="F121">
        <f t="shared" si="2"/>
        <v>18776.25</v>
      </c>
      <c r="G121" t="str">
        <f t="shared" si="3"/>
        <v>Margin Focus</v>
      </c>
    </row>
    <row r="122" spans="1:7" x14ac:dyDescent="0.3">
      <c r="A122" s="5" t="s">
        <v>101</v>
      </c>
      <c r="B122" s="2">
        <v>73890</v>
      </c>
      <c r="C122" s="2">
        <v>9840</v>
      </c>
      <c r="D122" s="2">
        <v>5</v>
      </c>
      <c r="E122" s="3">
        <v>0.13317092976045472</v>
      </c>
      <c r="F122">
        <f t="shared" si="2"/>
        <v>14778</v>
      </c>
      <c r="G122" t="str">
        <f t="shared" si="3"/>
        <v>Low Value</v>
      </c>
    </row>
    <row r="123" spans="1:7" x14ac:dyDescent="0.3">
      <c r="A123" s="5" t="s">
        <v>72</v>
      </c>
      <c r="B123" s="2">
        <v>70437.5</v>
      </c>
      <c r="C123" s="2">
        <v>13850</v>
      </c>
      <c r="D123" s="2">
        <v>3</v>
      </c>
      <c r="E123" s="3">
        <v>0.1966282165039929</v>
      </c>
      <c r="F123">
        <f t="shared" si="2"/>
        <v>23479.166666666668</v>
      </c>
      <c r="G123" t="str">
        <f t="shared" si="3"/>
        <v>Margin Focus</v>
      </c>
    </row>
    <row r="124" spans="1:7" x14ac:dyDescent="0.3">
      <c r="A124" s="5" t="s">
        <v>75</v>
      </c>
      <c r="B124" s="2">
        <v>69911</v>
      </c>
      <c r="C124" s="2">
        <v>11112</v>
      </c>
      <c r="D124" s="2">
        <v>5</v>
      </c>
      <c r="E124" s="3">
        <v>0.15894494428630687</v>
      </c>
      <c r="F124">
        <f t="shared" si="2"/>
        <v>13982.2</v>
      </c>
      <c r="G124" t="str">
        <f t="shared" si="3"/>
        <v>Margin Focus</v>
      </c>
    </row>
    <row r="125" spans="1:7" x14ac:dyDescent="0.3">
      <c r="A125" s="5" t="s">
        <v>103</v>
      </c>
      <c r="B125" s="2">
        <v>65305</v>
      </c>
      <c r="C125" s="2">
        <v>12105</v>
      </c>
      <c r="D125" s="2">
        <v>7</v>
      </c>
      <c r="E125" s="3">
        <v>0.18536099839215986</v>
      </c>
      <c r="F125">
        <f t="shared" si="2"/>
        <v>9329.2857142857138</v>
      </c>
      <c r="G125" t="str">
        <f t="shared" si="3"/>
        <v>Margin Focus</v>
      </c>
    </row>
    <row r="126" spans="1:7" x14ac:dyDescent="0.3">
      <c r="A126" s="5" t="s">
        <v>157</v>
      </c>
      <c r="B126" s="2">
        <v>64060</v>
      </c>
      <c r="C126" s="2">
        <v>3420</v>
      </c>
      <c r="D126" s="2">
        <v>3</v>
      </c>
      <c r="E126" s="3">
        <v>5.3387449266312829E-2</v>
      </c>
      <c r="F126">
        <f t="shared" si="2"/>
        <v>21353.333333333332</v>
      </c>
      <c r="G126" t="str">
        <f t="shared" si="3"/>
        <v>Low Value</v>
      </c>
    </row>
    <row r="127" spans="1:7" x14ac:dyDescent="0.3">
      <c r="A127" s="5" t="s">
        <v>170</v>
      </c>
      <c r="B127" s="2">
        <v>60900</v>
      </c>
      <c r="C127" s="2">
        <v>17205</v>
      </c>
      <c r="D127" s="2">
        <v>2</v>
      </c>
      <c r="E127" s="3">
        <v>0.28251231527093595</v>
      </c>
      <c r="F127">
        <f t="shared" si="2"/>
        <v>30450</v>
      </c>
      <c r="G127" t="str">
        <f t="shared" si="3"/>
        <v>Margin Focus</v>
      </c>
    </row>
    <row r="128" spans="1:7" x14ac:dyDescent="0.3">
      <c r="A128" s="5" t="s">
        <v>137</v>
      </c>
      <c r="B128" s="2">
        <v>60167.5</v>
      </c>
      <c r="C128" s="2">
        <v>15097.5</v>
      </c>
      <c r="D128" s="2">
        <v>6</v>
      </c>
      <c r="E128" s="3">
        <v>0.25092450243071424</v>
      </c>
      <c r="F128">
        <f t="shared" si="2"/>
        <v>10027.916666666666</v>
      </c>
      <c r="G128" t="str">
        <f t="shared" si="3"/>
        <v>Margin Focus</v>
      </c>
    </row>
    <row r="129" spans="1:7" x14ac:dyDescent="0.3">
      <c r="A129" s="5" t="s">
        <v>91</v>
      </c>
      <c r="B129" s="2">
        <v>59700</v>
      </c>
      <c r="C129" s="2">
        <v>15420</v>
      </c>
      <c r="D129" s="2">
        <v>3</v>
      </c>
      <c r="E129" s="3">
        <v>0.25829145728643216</v>
      </c>
      <c r="F129">
        <f t="shared" si="2"/>
        <v>19900</v>
      </c>
      <c r="G129" t="str">
        <f t="shared" si="3"/>
        <v>Margin Focus</v>
      </c>
    </row>
    <row r="130" spans="1:7" x14ac:dyDescent="0.3">
      <c r="A130" s="5" t="s">
        <v>154</v>
      </c>
      <c r="B130" s="2">
        <v>58386</v>
      </c>
      <c r="C130" s="2">
        <v>10698</v>
      </c>
      <c r="D130" s="2">
        <v>5</v>
      </c>
      <c r="E130" s="3">
        <v>0.18322885623265853</v>
      </c>
      <c r="F130">
        <f t="shared" si="2"/>
        <v>11677.2</v>
      </c>
      <c r="G130" t="str">
        <f t="shared" si="3"/>
        <v>Margin Focus</v>
      </c>
    </row>
    <row r="131" spans="1:7" x14ac:dyDescent="0.3">
      <c r="A131" s="5" t="s">
        <v>104</v>
      </c>
      <c r="B131" s="2">
        <v>57957.5</v>
      </c>
      <c r="C131" s="2">
        <v>10030</v>
      </c>
      <c r="D131" s="2">
        <v>5</v>
      </c>
      <c r="E131" s="3">
        <v>0.17305784410990813</v>
      </c>
      <c r="F131">
        <f t="shared" si="2"/>
        <v>11591.5</v>
      </c>
      <c r="G131" t="str">
        <f t="shared" si="3"/>
        <v>Margin Focus</v>
      </c>
    </row>
    <row r="132" spans="1:7" x14ac:dyDescent="0.3">
      <c r="A132" s="5" t="s">
        <v>123</v>
      </c>
      <c r="B132" s="2">
        <v>56687.5</v>
      </c>
      <c r="C132" s="2">
        <v>11085</v>
      </c>
      <c r="D132" s="2">
        <v>5</v>
      </c>
      <c r="E132" s="3">
        <v>0.1955457552370452</v>
      </c>
      <c r="F132">
        <f t="shared" si="2"/>
        <v>11337.5</v>
      </c>
      <c r="G132" t="str">
        <f t="shared" si="3"/>
        <v>Margin Focus</v>
      </c>
    </row>
    <row r="133" spans="1:7" x14ac:dyDescent="0.3">
      <c r="A133" s="5" t="s">
        <v>159</v>
      </c>
      <c r="B133" s="2">
        <v>54540</v>
      </c>
      <c r="C133" s="2">
        <v>12660</v>
      </c>
      <c r="D133" s="2">
        <v>5</v>
      </c>
      <c r="E133" s="3">
        <v>0.23212321232123212</v>
      </c>
      <c r="F133">
        <f t="shared" ref="F133:F196" si="4">B133/D133</f>
        <v>10908</v>
      </c>
      <c r="G133" t="str">
        <f t="shared" ref="G133:G157" si="5">IF(B133&gt;=168370,IF(E133&gt;=0.1355,"High Value","Revenue Focus"),IF(E133&gt;=0.1355,"Margin Focus","Low Value"))</f>
        <v>Margin Focus</v>
      </c>
    </row>
    <row r="134" spans="1:7" x14ac:dyDescent="0.3">
      <c r="A134" s="5" t="s">
        <v>177</v>
      </c>
      <c r="B134" s="2">
        <v>54459</v>
      </c>
      <c r="C134" s="2">
        <v>10962</v>
      </c>
      <c r="D134" s="2">
        <v>2</v>
      </c>
      <c r="E134" s="3">
        <v>0.20128904313336637</v>
      </c>
      <c r="F134">
        <f t="shared" si="4"/>
        <v>27229.5</v>
      </c>
      <c r="G134" t="str">
        <f t="shared" si="5"/>
        <v>Margin Focus</v>
      </c>
    </row>
    <row r="135" spans="1:7" x14ac:dyDescent="0.3">
      <c r="A135" s="5" t="s">
        <v>33</v>
      </c>
      <c r="B135" s="2">
        <v>49763.5</v>
      </c>
      <c r="C135" s="2">
        <v>5338</v>
      </c>
      <c r="D135" s="2">
        <v>6</v>
      </c>
      <c r="E135" s="3">
        <v>0.10726737468224704</v>
      </c>
      <c r="F135">
        <f t="shared" si="4"/>
        <v>8293.9166666666661</v>
      </c>
      <c r="G135" t="str">
        <f t="shared" si="5"/>
        <v>Low Value</v>
      </c>
    </row>
    <row r="136" spans="1:7" x14ac:dyDescent="0.3">
      <c r="A136" s="5" t="s">
        <v>99</v>
      </c>
      <c r="B136" s="2">
        <v>48000</v>
      </c>
      <c r="C136" s="2">
        <v>13440</v>
      </c>
      <c r="D136" s="2">
        <v>1</v>
      </c>
      <c r="E136" s="3">
        <v>0.28000000000000003</v>
      </c>
      <c r="F136">
        <f t="shared" si="4"/>
        <v>48000</v>
      </c>
      <c r="G136" t="str">
        <f t="shared" si="5"/>
        <v>Margin Focus</v>
      </c>
    </row>
    <row r="137" spans="1:7" x14ac:dyDescent="0.3">
      <c r="A137" s="5" t="s">
        <v>37</v>
      </c>
      <c r="B137" s="2">
        <v>40050</v>
      </c>
      <c r="C137" s="2">
        <v>5220</v>
      </c>
      <c r="D137" s="2">
        <v>3</v>
      </c>
      <c r="E137" s="3">
        <v>0.1303370786516854</v>
      </c>
      <c r="F137">
        <f t="shared" si="4"/>
        <v>13350</v>
      </c>
      <c r="G137" t="str">
        <f t="shared" si="5"/>
        <v>Low Value</v>
      </c>
    </row>
    <row r="138" spans="1:7" x14ac:dyDescent="0.3">
      <c r="A138" s="5" t="s">
        <v>145</v>
      </c>
      <c r="B138" s="2">
        <v>34410</v>
      </c>
      <c r="C138" s="2">
        <v>5835</v>
      </c>
      <c r="D138" s="2">
        <v>3</v>
      </c>
      <c r="E138" s="3">
        <v>0.16957279860505667</v>
      </c>
      <c r="F138">
        <f t="shared" si="4"/>
        <v>11470</v>
      </c>
      <c r="G138" t="str">
        <f t="shared" si="5"/>
        <v>Margin Focus</v>
      </c>
    </row>
    <row r="139" spans="1:7" x14ac:dyDescent="0.3">
      <c r="A139" s="5" t="s">
        <v>175</v>
      </c>
      <c r="B139" s="2">
        <v>33440</v>
      </c>
      <c r="C139" s="2">
        <v>6670</v>
      </c>
      <c r="D139" s="2">
        <v>3</v>
      </c>
      <c r="E139" s="3">
        <v>0.19946172248803828</v>
      </c>
      <c r="F139">
        <f t="shared" si="4"/>
        <v>11146.666666666666</v>
      </c>
      <c r="G139" t="str">
        <f t="shared" si="5"/>
        <v>Margin Focus</v>
      </c>
    </row>
    <row r="140" spans="1:7" x14ac:dyDescent="0.3">
      <c r="A140" s="5" t="s">
        <v>140</v>
      </c>
      <c r="B140" s="2">
        <v>30042</v>
      </c>
      <c r="C140" s="2">
        <v>3804</v>
      </c>
      <c r="D140" s="2">
        <v>4</v>
      </c>
      <c r="E140" s="3">
        <v>0.12662272818054723</v>
      </c>
      <c r="F140">
        <f t="shared" si="4"/>
        <v>7510.5</v>
      </c>
      <c r="G140" t="str">
        <f t="shared" si="5"/>
        <v>Low Value</v>
      </c>
    </row>
    <row r="141" spans="1:7" x14ac:dyDescent="0.3">
      <c r="A141" s="5" t="s">
        <v>180</v>
      </c>
      <c r="B141" s="2">
        <v>30000</v>
      </c>
      <c r="C141" s="2">
        <v>8400</v>
      </c>
      <c r="D141" s="2">
        <v>1</v>
      </c>
      <c r="E141" s="3">
        <v>0.28000000000000003</v>
      </c>
      <c r="F141">
        <f t="shared" si="4"/>
        <v>30000</v>
      </c>
      <c r="G141" t="str">
        <f t="shared" si="5"/>
        <v>Margin Focus</v>
      </c>
    </row>
    <row r="142" spans="1:7" x14ac:dyDescent="0.3">
      <c r="A142" s="5" t="s">
        <v>144</v>
      </c>
      <c r="B142" s="2">
        <v>27420</v>
      </c>
      <c r="C142" s="2">
        <v>1260</v>
      </c>
      <c r="D142" s="2">
        <v>2</v>
      </c>
      <c r="E142" s="3">
        <v>4.5951859956236324E-2</v>
      </c>
      <c r="F142">
        <f t="shared" si="4"/>
        <v>13710</v>
      </c>
      <c r="G142" t="str">
        <f t="shared" si="5"/>
        <v>Low Value</v>
      </c>
    </row>
    <row r="143" spans="1:7" x14ac:dyDescent="0.3">
      <c r="A143" s="5" t="s">
        <v>102</v>
      </c>
      <c r="B143" s="2">
        <v>26150</v>
      </c>
      <c r="C143" s="2">
        <v>6760</v>
      </c>
      <c r="D143" s="2">
        <v>4</v>
      </c>
      <c r="E143" s="3">
        <v>0.25850860420650096</v>
      </c>
      <c r="F143">
        <f t="shared" si="4"/>
        <v>6537.5</v>
      </c>
      <c r="G143" t="str">
        <f t="shared" si="5"/>
        <v>Margin Focus</v>
      </c>
    </row>
    <row r="144" spans="1:7" x14ac:dyDescent="0.3">
      <c r="A144" s="5" t="s">
        <v>68</v>
      </c>
      <c r="B144" s="2">
        <v>25380</v>
      </c>
      <c r="C144" s="2">
        <v>3315</v>
      </c>
      <c r="D144" s="2">
        <v>3</v>
      </c>
      <c r="E144" s="3">
        <v>0.13061465721040189</v>
      </c>
      <c r="F144">
        <f t="shared" si="4"/>
        <v>8460</v>
      </c>
      <c r="G144" t="str">
        <f t="shared" si="5"/>
        <v>Low Value</v>
      </c>
    </row>
    <row r="145" spans="1:7" x14ac:dyDescent="0.3">
      <c r="A145" s="5" t="s">
        <v>173</v>
      </c>
      <c r="B145" s="2">
        <v>24750</v>
      </c>
      <c r="C145" s="2">
        <v>-262.5</v>
      </c>
      <c r="D145" s="2">
        <v>2</v>
      </c>
      <c r="E145" s="3">
        <v>-1.0606060606060607E-2</v>
      </c>
      <c r="F145">
        <f t="shared" si="4"/>
        <v>12375</v>
      </c>
      <c r="G145" t="str">
        <f t="shared" si="5"/>
        <v>Low Value</v>
      </c>
    </row>
    <row r="146" spans="1:7" x14ac:dyDescent="0.3">
      <c r="A146" s="5" t="s">
        <v>59</v>
      </c>
      <c r="B146" s="2">
        <v>19165</v>
      </c>
      <c r="C146" s="2">
        <v>4121.5</v>
      </c>
      <c r="D146" s="2">
        <v>7</v>
      </c>
      <c r="E146" s="3">
        <v>0.21505348291155751</v>
      </c>
      <c r="F146">
        <f t="shared" si="4"/>
        <v>2737.8571428571427</v>
      </c>
      <c r="G146" t="str">
        <f t="shared" si="5"/>
        <v>Margin Focus</v>
      </c>
    </row>
    <row r="147" spans="1:7" x14ac:dyDescent="0.3">
      <c r="A147" s="5" t="s">
        <v>166</v>
      </c>
      <c r="B147" s="2">
        <v>17094</v>
      </c>
      <c r="C147" s="2">
        <v>2720</v>
      </c>
      <c r="D147" s="2">
        <v>5</v>
      </c>
      <c r="E147" s="3">
        <v>0.15912015912015912</v>
      </c>
      <c r="F147">
        <f t="shared" si="4"/>
        <v>3418.8</v>
      </c>
      <c r="G147" t="str">
        <f t="shared" si="5"/>
        <v>Margin Focus</v>
      </c>
    </row>
    <row r="148" spans="1:7" x14ac:dyDescent="0.3">
      <c r="A148" s="5" t="s">
        <v>108</v>
      </c>
      <c r="B148" s="2">
        <v>12750</v>
      </c>
      <c r="C148" s="2">
        <v>1910</v>
      </c>
      <c r="D148" s="2">
        <v>2</v>
      </c>
      <c r="E148" s="3">
        <v>0.14980392156862746</v>
      </c>
      <c r="F148">
        <f t="shared" si="4"/>
        <v>6375</v>
      </c>
      <c r="G148" t="str">
        <f t="shared" si="5"/>
        <v>Margin Focus</v>
      </c>
    </row>
    <row r="149" spans="1:7" x14ac:dyDescent="0.3">
      <c r="A149" s="5" t="s">
        <v>165</v>
      </c>
      <c r="B149" s="2">
        <v>9150</v>
      </c>
      <c r="C149" s="2">
        <v>210</v>
      </c>
      <c r="D149" s="2">
        <v>2</v>
      </c>
      <c r="E149" s="3">
        <v>2.2950819672131147E-2</v>
      </c>
      <c r="F149">
        <f t="shared" si="4"/>
        <v>4575</v>
      </c>
      <c r="G149" t="str">
        <f t="shared" si="5"/>
        <v>Low Value</v>
      </c>
    </row>
    <row r="150" spans="1:7" x14ac:dyDescent="0.3">
      <c r="A150" s="5" t="s">
        <v>155</v>
      </c>
      <c r="B150" s="2">
        <v>7786</v>
      </c>
      <c r="C150" s="2">
        <v>1868</v>
      </c>
      <c r="D150" s="2">
        <v>2</v>
      </c>
      <c r="E150" s="3">
        <v>0.23991780118160802</v>
      </c>
      <c r="F150">
        <f t="shared" si="4"/>
        <v>3893</v>
      </c>
      <c r="G150" t="str">
        <f t="shared" si="5"/>
        <v>Margin Focus</v>
      </c>
    </row>
    <row r="151" spans="1:7" x14ac:dyDescent="0.3">
      <c r="A151" s="5" t="s">
        <v>122</v>
      </c>
      <c r="B151" s="2">
        <v>5913</v>
      </c>
      <c r="C151" s="2">
        <v>1281</v>
      </c>
      <c r="D151" s="2">
        <v>4</v>
      </c>
      <c r="E151" s="3">
        <v>0.21664129883307964</v>
      </c>
      <c r="F151">
        <f t="shared" si="4"/>
        <v>1478.25</v>
      </c>
      <c r="G151" t="str">
        <f t="shared" si="5"/>
        <v>Margin Focus</v>
      </c>
    </row>
    <row r="152" spans="1:7" x14ac:dyDescent="0.3">
      <c r="A152" s="5" t="s">
        <v>174</v>
      </c>
      <c r="B152" s="2">
        <v>1200</v>
      </c>
      <c r="C152" s="2">
        <v>420</v>
      </c>
      <c r="D152" s="2">
        <v>1</v>
      </c>
      <c r="E152" s="3">
        <v>0.35</v>
      </c>
      <c r="F152">
        <f t="shared" si="4"/>
        <v>1200</v>
      </c>
      <c r="G152" t="str">
        <f t="shared" si="5"/>
        <v>Margin Focus</v>
      </c>
    </row>
    <row r="153" spans="1:7" x14ac:dyDescent="0.3">
      <c r="A153" s="5" t="s">
        <v>179</v>
      </c>
      <c r="B153" s="2">
        <v>1080</v>
      </c>
      <c r="C153" s="2">
        <v>300</v>
      </c>
      <c r="D153" s="2">
        <v>1</v>
      </c>
      <c r="E153" s="3">
        <v>0.27777777777777779</v>
      </c>
      <c r="F153">
        <f t="shared" si="4"/>
        <v>1080</v>
      </c>
      <c r="G153" t="str">
        <f t="shared" si="5"/>
        <v>Margin Focus</v>
      </c>
    </row>
    <row r="154" spans="1:7" x14ac:dyDescent="0.3">
      <c r="A154" s="5" t="s">
        <v>149</v>
      </c>
      <c r="B154" s="2">
        <v>810</v>
      </c>
      <c r="C154" s="2">
        <v>315</v>
      </c>
      <c r="D154" s="2">
        <v>1</v>
      </c>
      <c r="E154" s="3">
        <v>0.3888888888888889</v>
      </c>
      <c r="F154">
        <f t="shared" si="4"/>
        <v>810</v>
      </c>
      <c r="G154" t="str">
        <f t="shared" si="5"/>
        <v>Margin Focus</v>
      </c>
    </row>
    <row r="155" spans="1:7" x14ac:dyDescent="0.3">
      <c r="A155" s="5" t="s">
        <v>182</v>
      </c>
      <c r="B155" s="2"/>
      <c r="C155" s="2"/>
      <c r="D155" s="2"/>
      <c r="E155" s="3" t="e">
        <v>#DIV/0!</v>
      </c>
      <c r="F155" t="e">
        <f t="shared" si="4"/>
        <v>#DIV/0!</v>
      </c>
      <c r="G155" t="e">
        <f t="shared" si="5"/>
        <v>#DIV/0!</v>
      </c>
    </row>
    <row r="156" spans="1:7" x14ac:dyDescent="0.3">
      <c r="A156" s="6" t="s">
        <v>182</v>
      </c>
      <c r="B156" s="2"/>
      <c r="C156" s="2"/>
      <c r="D156" s="2"/>
      <c r="E156" s="3" t="e">
        <v>#DIV/0!</v>
      </c>
      <c r="F156" t="e">
        <f t="shared" si="4"/>
        <v>#DIV/0!</v>
      </c>
      <c r="G156" t="e">
        <f t="shared" si="5"/>
        <v>#DIV/0!</v>
      </c>
    </row>
    <row r="157" spans="1:7" x14ac:dyDescent="0.3">
      <c r="A157" s="5" t="s">
        <v>183</v>
      </c>
      <c r="B157" s="2">
        <v>29256204</v>
      </c>
      <c r="C157" s="2">
        <v>3420022.5</v>
      </c>
      <c r="D157" s="2">
        <v>796</v>
      </c>
      <c r="E157" s="3">
        <v>0.116899051565268</v>
      </c>
      <c r="F157">
        <f t="shared" si="4"/>
        <v>36754.025125628141</v>
      </c>
      <c r="G157" t="str">
        <f t="shared" si="5"/>
        <v>Revenue Focus</v>
      </c>
    </row>
    <row r="158" spans="1:7" x14ac:dyDescent="0.3">
      <c r="E158"/>
      <c r="F158" t="e">
        <f t="shared" si="4"/>
        <v>#DIV/0!</v>
      </c>
    </row>
    <row r="159" spans="1:7" x14ac:dyDescent="0.3">
      <c r="E159"/>
      <c r="F159" t="e">
        <f t="shared" si="4"/>
        <v>#DIV/0!</v>
      </c>
    </row>
    <row r="160" spans="1:7" x14ac:dyDescent="0.3">
      <c r="E160"/>
      <c r="F160" t="e">
        <f t="shared" si="4"/>
        <v>#DIV/0!</v>
      </c>
    </row>
    <row r="161" spans="5:6" x14ac:dyDescent="0.3">
      <c r="E161"/>
      <c r="F161" t="e">
        <f t="shared" si="4"/>
        <v>#DIV/0!</v>
      </c>
    </row>
    <row r="162" spans="5:6" x14ac:dyDescent="0.3">
      <c r="E162"/>
      <c r="F162" t="e">
        <f t="shared" si="4"/>
        <v>#DIV/0!</v>
      </c>
    </row>
    <row r="163" spans="5:6" x14ac:dyDescent="0.3">
      <c r="E163"/>
      <c r="F163" t="e">
        <f t="shared" si="4"/>
        <v>#DIV/0!</v>
      </c>
    </row>
    <row r="164" spans="5:6" x14ac:dyDescent="0.3">
      <c r="E164"/>
      <c r="F164" t="e">
        <f t="shared" si="4"/>
        <v>#DIV/0!</v>
      </c>
    </row>
    <row r="165" spans="5:6" x14ac:dyDescent="0.3">
      <c r="E165"/>
      <c r="F165" t="e">
        <f t="shared" si="4"/>
        <v>#DIV/0!</v>
      </c>
    </row>
    <row r="166" spans="5:6" x14ac:dyDescent="0.3">
      <c r="E166"/>
      <c r="F166" t="e">
        <f t="shared" si="4"/>
        <v>#DIV/0!</v>
      </c>
    </row>
    <row r="167" spans="5:6" x14ac:dyDescent="0.3">
      <c r="E167"/>
      <c r="F167" t="e">
        <f t="shared" si="4"/>
        <v>#DIV/0!</v>
      </c>
    </row>
    <row r="168" spans="5:6" x14ac:dyDescent="0.3">
      <c r="E168"/>
      <c r="F168" t="e">
        <f t="shared" si="4"/>
        <v>#DIV/0!</v>
      </c>
    </row>
    <row r="169" spans="5:6" x14ac:dyDescent="0.3">
      <c r="E169"/>
      <c r="F169" t="e">
        <f t="shared" si="4"/>
        <v>#DIV/0!</v>
      </c>
    </row>
    <row r="170" spans="5:6" x14ac:dyDescent="0.3">
      <c r="E170"/>
      <c r="F170" t="e">
        <f t="shared" si="4"/>
        <v>#DIV/0!</v>
      </c>
    </row>
    <row r="171" spans="5:6" x14ac:dyDescent="0.3">
      <c r="E171"/>
      <c r="F171" t="e">
        <f t="shared" si="4"/>
        <v>#DIV/0!</v>
      </c>
    </row>
    <row r="172" spans="5:6" x14ac:dyDescent="0.3">
      <c r="E172"/>
      <c r="F172" t="e">
        <f t="shared" si="4"/>
        <v>#DIV/0!</v>
      </c>
    </row>
    <row r="173" spans="5:6" x14ac:dyDescent="0.3">
      <c r="E173"/>
      <c r="F173" t="e">
        <f t="shared" si="4"/>
        <v>#DIV/0!</v>
      </c>
    </row>
    <row r="174" spans="5:6" x14ac:dyDescent="0.3">
      <c r="E174"/>
      <c r="F174" t="e">
        <f t="shared" si="4"/>
        <v>#DIV/0!</v>
      </c>
    </row>
    <row r="175" spans="5:6" x14ac:dyDescent="0.3">
      <c r="E175"/>
      <c r="F175" t="e">
        <f t="shared" si="4"/>
        <v>#DIV/0!</v>
      </c>
    </row>
    <row r="176" spans="5:6" x14ac:dyDescent="0.3">
      <c r="E176"/>
      <c r="F176" t="e">
        <f t="shared" si="4"/>
        <v>#DIV/0!</v>
      </c>
    </row>
    <row r="177" spans="5:6" x14ac:dyDescent="0.3">
      <c r="E177"/>
      <c r="F177" t="e">
        <f t="shared" si="4"/>
        <v>#DIV/0!</v>
      </c>
    </row>
    <row r="178" spans="5:6" x14ac:dyDescent="0.3">
      <c r="E178"/>
      <c r="F178" t="e">
        <f t="shared" si="4"/>
        <v>#DIV/0!</v>
      </c>
    </row>
    <row r="179" spans="5:6" x14ac:dyDescent="0.3">
      <c r="E179"/>
      <c r="F179" t="e">
        <f t="shared" si="4"/>
        <v>#DIV/0!</v>
      </c>
    </row>
    <row r="180" spans="5:6" x14ac:dyDescent="0.3">
      <c r="E180"/>
      <c r="F180" t="e">
        <f t="shared" si="4"/>
        <v>#DIV/0!</v>
      </c>
    </row>
    <row r="181" spans="5:6" x14ac:dyDescent="0.3">
      <c r="E181"/>
      <c r="F181" t="e">
        <f t="shared" si="4"/>
        <v>#DIV/0!</v>
      </c>
    </row>
    <row r="182" spans="5:6" x14ac:dyDescent="0.3">
      <c r="E182"/>
      <c r="F182" t="e">
        <f t="shared" si="4"/>
        <v>#DIV/0!</v>
      </c>
    </row>
    <row r="183" spans="5:6" x14ac:dyDescent="0.3">
      <c r="E183"/>
      <c r="F183" t="e">
        <f t="shared" si="4"/>
        <v>#DIV/0!</v>
      </c>
    </row>
    <row r="184" spans="5:6" x14ac:dyDescent="0.3">
      <c r="E184"/>
      <c r="F184" t="e">
        <f t="shared" si="4"/>
        <v>#DIV/0!</v>
      </c>
    </row>
    <row r="185" spans="5:6" x14ac:dyDescent="0.3">
      <c r="E185"/>
      <c r="F185" t="e">
        <f t="shared" si="4"/>
        <v>#DIV/0!</v>
      </c>
    </row>
    <row r="186" spans="5:6" x14ac:dyDescent="0.3">
      <c r="E186"/>
      <c r="F186" t="e">
        <f t="shared" si="4"/>
        <v>#DIV/0!</v>
      </c>
    </row>
    <row r="187" spans="5:6" x14ac:dyDescent="0.3">
      <c r="E187"/>
      <c r="F187" t="e">
        <f t="shared" si="4"/>
        <v>#DIV/0!</v>
      </c>
    </row>
    <row r="188" spans="5:6" x14ac:dyDescent="0.3">
      <c r="E188"/>
      <c r="F188" t="e">
        <f t="shared" si="4"/>
        <v>#DIV/0!</v>
      </c>
    </row>
    <row r="189" spans="5:6" x14ac:dyDescent="0.3">
      <c r="E189"/>
      <c r="F189" t="e">
        <f t="shared" si="4"/>
        <v>#DIV/0!</v>
      </c>
    </row>
    <row r="190" spans="5:6" x14ac:dyDescent="0.3">
      <c r="E190"/>
      <c r="F190" t="e">
        <f t="shared" si="4"/>
        <v>#DIV/0!</v>
      </c>
    </row>
    <row r="191" spans="5:6" x14ac:dyDescent="0.3">
      <c r="E191"/>
      <c r="F191" t="e">
        <f t="shared" si="4"/>
        <v>#DIV/0!</v>
      </c>
    </row>
    <row r="192" spans="5:6" x14ac:dyDescent="0.3">
      <c r="E192"/>
      <c r="F192" t="e">
        <f t="shared" si="4"/>
        <v>#DIV/0!</v>
      </c>
    </row>
    <row r="193" spans="5:6" x14ac:dyDescent="0.3">
      <c r="E193"/>
      <c r="F193" t="e">
        <f t="shared" si="4"/>
        <v>#DIV/0!</v>
      </c>
    </row>
    <row r="194" spans="5:6" x14ac:dyDescent="0.3">
      <c r="E194"/>
      <c r="F194" t="e">
        <f t="shared" si="4"/>
        <v>#DIV/0!</v>
      </c>
    </row>
    <row r="195" spans="5:6" x14ac:dyDescent="0.3">
      <c r="E195"/>
      <c r="F195" t="e">
        <f t="shared" si="4"/>
        <v>#DIV/0!</v>
      </c>
    </row>
    <row r="196" spans="5:6" x14ac:dyDescent="0.3">
      <c r="E196"/>
      <c r="F196" t="e">
        <f t="shared" si="4"/>
        <v>#DIV/0!</v>
      </c>
    </row>
    <row r="197" spans="5:6" x14ac:dyDescent="0.3">
      <c r="E197"/>
      <c r="F197" t="e">
        <f t="shared" ref="F197:F260" si="6">B197/D197</f>
        <v>#DIV/0!</v>
      </c>
    </row>
    <row r="198" spans="5:6" x14ac:dyDescent="0.3">
      <c r="E198"/>
      <c r="F198" t="e">
        <f t="shared" si="6"/>
        <v>#DIV/0!</v>
      </c>
    </row>
    <row r="199" spans="5:6" x14ac:dyDescent="0.3">
      <c r="E199"/>
      <c r="F199" t="e">
        <f t="shared" si="6"/>
        <v>#DIV/0!</v>
      </c>
    </row>
    <row r="200" spans="5:6" x14ac:dyDescent="0.3">
      <c r="E200"/>
      <c r="F200" t="e">
        <f t="shared" si="6"/>
        <v>#DIV/0!</v>
      </c>
    </row>
    <row r="201" spans="5:6" x14ac:dyDescent="0.3">
      <c r="E201"/>
      <c r="F201" t="e">
        <f t="shared" si="6"/>
        <v>#DIV/0!</v>
      </c>
    </row>
    <row r="202" spans="5:6" x14ac:dyDescent="0.3">
      <c r="E202"/>
      <c r="F202" t="e">
        <f t="shared" si="6"/>
        <v>#DIV/0!</v>
      </c>
    </row>
    <row r="203" spans="5:6" x14ac:dyDescent="0.3">
      <c r="E203"/>
      <c r="F203" t="e">
        <f t="shared" si="6"/>
        <v>#DIV/0!</v>
      </c>
    </row>
    <row r="204" spans="5:6" x14ac:dyDescent="0.3">
      <c r="E204"/>
      <c r="F204" t="e">
        <f t="shared" si="6"/>
        <v>#DIV/0!</v>
      </c>
    </row>
    <row r="205" spans="5:6" x14ac:dyDescent="0.3">
      <c r="E205"/>
      <c r="F205" t="e">
        <f t="shared" si="6"/>
        <v>#DIV/0!</v>
      </c>
    </row>
    <row r="206" spans="5:6" x14ac:dyDescent="0.3">
      <c r="E206"/>
      <c r="F206" t="e">
        <f t="shared" si="6"/>
        <v>#DIV/0!</v>
      </c>
    </row>
    <row r="207" spans="5:6" x14ac:dyDescent="0.3">
      <c r="E207"/>
      <c r="F207" t="e">
        <f t="shared" si="6"/>
        <v>#DIV/0!</v>
      </c>
    </row>
    <row r="208" spans="5:6" x14ac:dyDescent="0.3">
      <c r="E208"/>
      <c r="F208" t="e">
        <f t="shared" si="6"/>
        <v>#DIV/0!</v>
      </c>
    </row>
    <row r="209" spans="5:6" x14ac:dyDescent="0.3">
      <c r="E209"/>
      <c r="F209" t="e">
        <f t="shared" si="6"/>
        <v>#DIV/0!</v>
      </c>
    </row>
    <row r="210" spans="5:6" x14ac:dyDescent="0.3">
      <c r="E210"/>
      <c r="F210" t="e">
        <f t="shared" si="6"/>
        <v>#DIV/0!</v>
      </c>
    </row>
    <row r="211" spans="5:6" x14ac:dyDescent="0.3">
      <c r="E211"/>
      <c r="F211" t="e">
        <f t="shared" si="6"/>
        <v>#DIV/0!</v>
      </c>
    </row>
    <row r="212" spans="5:6" x14ac:dyDescent="0.3">
      <c r="E212"/>
      <c r="F212" t="e">
        <f t="shared" si="6"/>
        <v>#DIV/0!</v>
      </c>
    </row>
    <row r="213" spans="5:6" x14ac:dyDescent="0.3">
      <c r="E213"/>
      <c r="F213" t="e">
        <f t="shared" si="6"/>
        <v>#DIV/0!</v>
      </c>
    </row>
    <row r="214" spans="5:6" x14ac:dyDescent="0.3">
      <c r="E214"/>
      <c r="F214" t="e">
        <f t="shared" si="6"/>
        <v>#DIV/0!</v>
      </c>
    </row>
    <row r="215" spans="5:6" x14ac:dyDescent="0.3">
      <c r="E215"/>
      <c r="F215" t="e">
        <f t="shared" si="6"/>
        <v>#DIV/0!</v>
      </c>
    </row>
    <row r="216" spans="5:6" x14ac:dyDescent="0.3">
      <c r="E216"/>
      <c r="F216" t="e">
        <f t="shared" si="6"/>
        <v>#DIV/0!</v>
      </c>
    </row>
    <row r="217" spans="5:6" x14ac:dyDescent="0.3">
      <c r="E217"/>
      <c r="F217" t="e">
        <f t="shared" si="6"/>
        <v>#DIV/0!</v>
      </c>
    </row>
    <row r="218" spans="5:6" x14ac:dyDescent="0.3">
      <c r="E218"/>
      <c r="F218" t="e">
        <f t="shared" si="6"/>
        <v>#DIV/0!</v>
      </c>
    </row>
    <row r="219" spans="5:6" x14ac:dyDescent="0.3">
      <c r="E219"/>
      <c r="F219" t="e">
        <f t="shared" si="6"/>
        <v>#DIV/0!</v>
      </c>
    </row>
    <row r="220" spans="5:6" x14ac:dyDescent="0.3">
      <c r="E220"/>
      <c r="F220" t="e">
        <f t="shared" si="6"/>
        <v>#DIV/0!</v>
      </c>
    </row>
    <row r="221" spans="5:6" x14ac:dyDescent="0.3">
      <c r="E221"/>
      <c r="F221" t="e">
        <f t="shared" si="6"/>
        <v>#DIV/0!</v>
      </c>
    </row>
    <row r="222" spans="5:6" x14ac:dyDescent="0.3">
      <c r="E222"/>
      <c r="F222" t="e">
        <f t="shared" si="6"/>
        <v>#DIV/0!</v>
      </c>
    </row>
    <row r="223" spans="5:6" x14ac:dyDescent="0.3">
      <c r="E223"/>
      <c r="F223" t="e">
        <f t="shared" si="6"/>
        <v>#DIV/0!</v>
      </c>
    </row>
    <row r="224" spans="5:6" x14ac:dyDescent="0.3">
      <c r="E224"/>
      <c r="F224" t="e">
        <f t="shared" si="6"/>
        <v>#DIV/0!</v>
      </c>
    </row>
    <row r="225" spans="5:6" x14ac:dyDescent="0.3">
      <c r="E225"/>
      <c r="F225" t="e">
        <f t="shared" si="6"/>
        <v>#DIV/0!</v>
      </c>
    </row>
    <row r="226" spans="5:6" x14ac:dyDescent="0.3">
      <c r="E226"/>
      <c r="F226" t="e">
        <f t="shared" si="6"/>
        <v>#DIV/0!</v>
      </c>
    </row>
    <row r="227" spans="5:6" x14ac:dyDescent="0.3">
      <c r="E227"/>
      <c r="F227" t="e">
        <f t="shared" si="6"/>
        <v>#DIV/0!</v>
      </c>
    </row>
    <row r="228" spans="5:6" x14ac:dyDescent="0.3">
      <c r="E228"/>
      <c r="F228" t="e">
        <f t="shared" si="6"/>
        <v>#DIV/0!</v>
      </c>
    </row>
    <row r="229" spans="5:6" x14ac:dyDescent="0.3">
      <c r="E229"/>
      <c r="F229" t="e">
        <f t="shared" si="6"/>
        <v>#DIV/0!</v>
      </c>
    </row>
    <row r="230" spans="5:6" x14ac:dyDescent="0.3">
      <c r="E230"/>
      <c r="F230" t="e">
        <f t="shared" si="6"/>
        <v>#DIV/0!</v>
      </c>
    </row>
    <row r="231" spans="5:6" x14ac:dyDescent="0.3">
      <c r="E231"/>
      <c r="F231" t="e">
        <f t="shared" si="6"/>
        <v>#DIV/0!</v>
      </c>
    </row>
    <row r="232" spans="5:6" x14ac:dyDescent="0.3">
      <c r="E232"/>
      <c r="F232" t="e">
        <f t="shared" si="6"/>
        <v>#DIV/0!</v>
      </c>
    </row>
    <row r="233" spans="5:6" x14ac:dyDescent="0.3">
      <c r="E233"/>
      <c r="F233" t="e">
        <f t="shared" si="6"/>
        <v>#DIV/0!</v>
      </c>
    </row>
    <row r="234" spans="5:6" x14ac:dyDescent="0.3">
      <c r="E234"/>
      <c r="F234" t="e">
        <f t="shared" si="6"/>
        <v>#DIV/0!</v>
      </c>
    </row>
    <row r="235" spans="5:6" x14ac:dyDescent="0.3">
      <c r="E235"/>
      <c r="F235" t="e">
        <f t="shared" si="6"/>
        <v>#DIV/0!</v>
      </c>
    </row>
    <row r="236" spans="5:6" x14ac:dyDescent="0.3">
      <c r="E236"/>
      <c r="F236" t="e">
        <f t="shared" si="6"/>
        <v>#DIV/0!</v>
      </c>
    </row>
    <row r="237" spans="5:6" x14ac:dyDescent="0.3">
      <c r="E237"/>
      <c r="F237" t="e">
        <f t="shared" si="6"/>
        <v>#DIV/0!</v>
      </c>
    </row>
    <row r="238" spans="5:6" x14ac:dyDescent="0.3">
      <c r="E238"/>
      <c r="F238" t="e">
        <f t="shared" si="6"/>
        <v>#DIV/0!</v>
      </c>
    </row>
    <row r="239" spans="5:6" x14ac:dyDescent="0.3">
      <c r="E239"/>
      <c r="F239" t="e">
        <f t="shared" si="6"/>
        <v>#DIV/0!</v>
      </c>
    </row>
    <row r="240" spans="5:6" x14ac:dyDescent="0.3">
      <c r="E240"/>
      <c r="F240" t="e">
        <f t="shared" si="6"/>
        <v>#DIV/0!</v>
      </c>
    </row>
    <row r="241" spans="5:6" x14ac:dyDescent="0.3">
      <c r="E241"/>
      <c r="F241" t="e">
        <f t="shared" si="6"/>
        <v>#DIV/0!</v>
      </c>
    </row>
    <row r="242" spans="5:6" x14ac:dyDescent="0.3">
      <c r="E242"/>
      <c r="F242" t="e">
        <f t="shared" si="6"/>
        <v>#DIV/0!</v>
      </c>
    </row>
    <row r="243" spans="5:6" x14ac:dyDescent="0.3">
      <c r="E243"/>
      <c r="F243" t="e">
        <f t="shared" si="6"/>
        <v>#DIV/0!</v>
      </c>
    </row>
    <row r="244" spans="5:6" x14ac:dyDescent="0.3">
      <c r="E244"/>
      <c r="F244" t="e">
        <f t="shared" si="6"/>
        <v>#DIV/0!</v>
      </c>
    </row>
    <row r="245" spans="5:6" x14ac:dyDescent="0.3">
      <c r="E245"/>
      <c r="F245" t="e">
        <f t="shared" si="6"/>
        <v>#DIV/0!</v>
      </c>
    </row>
    <row r="246" spans="5:6" x14ac:dyDescent="0.3">
      <c r="E246"/>
      <c r="F246" t="e">
        <f t="shared" si="6"/>
        <v>#DIV/0!</v>
      </c>
    </row>
    <row r="247" spans="5:6" x14ac:dyDescent="0.3">
      <c r="E247"/>
      <c r="F247" t="e">
        <f t="shared" si="6"/>
        <v>#DIV/0!</v>
      </c>
    </row>
    <row r="248" spans="5:6" x14ac:dyDescent="0.3">
      <c r="E248"/>
      <c r="F248" t="e">
        <f t="shared" si="6"/>
        <v>#DIV/0!</v>
      </c>
    </row>
    <row r="249" spans="5:6" x14ac:dyDescent="0.3">
      <c r="E249"/>
      <c r="F249" t="e">
        <f t="shared" si="6"/>
        <v>#DIV/0!</v>
      </c>
    </row>
    <row r="250" spans="5:6" x14ac:dyDescent="0.3">
      <c r="E250"/>
      <c r="F250" t="e">
        <f t="shared" si="6"/>
        <v>#DIV/0!</v>
      </c>
    </row>
    <row r="251" spans="5:6" x14ac:dyDescent="0.3">
      <c r="E251"/>
      <c r="F251" t="e">
        <f t="shared" si="6"/>
        <v>#DIV/0!</v>
      </c>
    </row>
    <row r="252" spans="5:6" x14ac:dyDescent="0.3">
      <c r="E252"/>
      <c r="F252" t="e">
        <f t="shared" si="6"/>
        <v>#DIV/0!</v>
      </c>
    </row>
    <row r="253" spans="5:6" x14ac:dyDescent="0.3">
      <c r="E253"/>
      <c r="F253" t="e">
        <f t="shared" si="6"/>
        <v>#DIV/0!</v>
      </c>
    </row>
    <row r="254" spans="5:6" x14ac:dyDescent="0.3">
      <c r="E254"/>
      <c r="F254" t="e">
        <f t="shared" si="6"/>
        <v>#DIV/0!</v>
      </c>
    </row>
    <row r="255" spans="5:6" x14ac:dyDescent="0.3">
      <c r="E255"/>
      <c r="F255" t="e">
        <f t="shared" si="6"/>
        <v>#DIV/0!</v>
      </c>
    </row>
    <row r="256" spans="5:6" x14ac:dyDescent="0.3">
      <c r="E256"/>
      <c r="F256" t="e">
        <f t="shared" si="6"/>
        <v>#DIV/0!</v>
      </c>
    </row>
    <row r="257" spans="5:6" x14ac:dyDescent="0.3">
      <c r="E257"/>
      <c r="F257" t="e">
        <f t="shared" si="6"/>
        <v>#DIV/0!</v>
      </c>
    </row>
    <row r="258" spans="5:6" x14ac:dyDescent="0.3">
      <c r="E258"/>
      <c r="F258" t="e">
        <f t="shared" si="6"/>
        <v>#DIV/0!</v>
      </c>
    </row>
    <row r="259" spans="5:6" x14ac:dyDescent="0.3">
      <c r="E259"/>
      <c r="F259" t="e">
        <f t="shared" si="6"/>
        <v>#DIV/0!</v>
      </c>
    </row>
    <row r="260" spans="5:6" x14ac:dyDescent="0.3">
      <c r="E260"/>
      <c r="F260" t="e">
        <f t="shared" si="6"/>
        <v>#DIV/0!</v>
      </c>
    </row>
    <row r="261" spans="5:6" x14ac:dyDescent="0.3">
      <c r="E261"/>
      <c r="F261" t="e">
        <f t="shared" ref="F261:F324" si="7">B261/D261</f>
        <v>#DIV/0!</v>
      </c>
    </row>
    <row r="262" spans="5:6" x14ac:dyDescent="0.3">
      <c r="E262"/>
      <c r="F262" t="e">
        <f t="shared" si="7"/>
        <v>#DIV/0!</v>
      </c>
    </row>
    <row r="263" spans="5:6" x14ac:dyDescent="0.3">
      <c r="E263"/>
      <c r="F263" t="e">
        <f t="shared" si="7"/>
        <v>#DIV/0!</v>
      </c>
    </row>
    <row r="264" spans="5:6" x14ac:dyDescent="0.3">
      <c r="E264"/>
      <c r="F264" t="e">
        <f t="shared" si="7"/>
        <v>#DIV/0!</v>
      </c>
    </row>
    <row r="265" spans="5:6" x14ac:dyDescent="0.3">
      <c r="E265"/>
      <c r="F265" t="e">
        <f t="shared" si="7"/>
        <v>#DIV/0!</v>
      </c>
    </row>
    <row r="266" spans="5:6" x14ac:dyDescent="0.3">
      <c r="E266"/>
      <c r="F266" t="e">
        <f t="shared" si="7"/>
        <v>#DIV/0!</v>
      </c>
    </row>
    <row r="267" spans="5:6" x14ac:dyDescent="0.3">
      <c r="E267"/>
      <c r="F267" t="e">
        <f t="shared" si="7"/>
        <v>#DIV/0!</v>
      </c>
    </row>
    <row r="268" spans="5:6" x14ac:dyDescent="0.3">
      <c r="E268"/>
      <c r="F268" t="e">
        <f t="shared" si="7"/>
        <v>#DIV/0!</v>
      </c>
    </row>
    <row r="269" spans="5:6" x14ac:dyDescent="0.3">
      <c r="E269"/>
      <c r="F269" t="e">
        <f t="shared" si="7"/>
        <v>#DIV/0!</v>
      </c>
    </row>
    <row r="270" spans="5:6" x14ac:dyDescent="0.3">
      <c r="E270"/>
      <c r="F270" t="e">
        <f t="shared" si="7"/>
        <v>#DIV/0!</v>
      </c>
    </row>
    <row r="271" spans="5:6" x14ac:dyDescent="0.3">
      <c r="E271"/>
      <c r="F271" t="e">
        <f t="shared" si="7"/>
        <v>#DIV/0!</v>
      </c>
    </row>
    <row r="272" spans="5:6" x14ac:dyDescent="0.3">
      <c r="E272"/>
      <c r="F272" t="e">
        <f t="shared" si="7"/>
        <v>#DIV/0!</v>
      </c>
    </row>
    <row r="273" spans="5:6" x14ac:dyDescent="0.3">
      <c r="E273"/>
      <c r="F273" t="e">
        <f t="shared" si="7"/>
        <v>#DIV/0!</v>
      </c>
    </row>
    <row r="274" spans="5:6" x14ac:dyDescent="0.3">
      <c r="E274"/>
      <c r="F274" t="e">
        <f t="shared" si="7"/>
        <v>#DIV/0!</v>
      </c>
    </row>
    <row r="275" spans="5:6" x14ac:dyDescent="0.3">
      <c r="E275"/>
      <c r="F275" t="e">
        <f t="shared" si="7"/>
        <v>#DIV/0!</v>
      </c>
    </row>
    <row r="276" spans="5:6" x14ac:dyDescent="0.3">
      <c r="E276"/>
      <c r="F276" t="e">
        <f t="shared" si="7"/>
        <v>#DIV/0!</v>
      </c>
    </row>
    <row r="277" spans="5:6" x14ac:dyDescent="0.3">
      <c r="E277"/>
      <c r="F277" t="e">
        <f t="shared" si="7"/>
        <v>#DIV/0!</v>
      </c>
    </row>
    <row r="278" spans="5:6" x14ac:dyDescent="0.3">
      <c r="E278"/>
      <c r="F278" t="e">
        <f t="shared" si="7"/>
        <v>#DIV/0!</v>
      </c>
    </row>
    <row r="279" spans="5:6" x14ac:dyDescent="0.3">
      <c r="E279"/>
      <c r="F279" t="e">
        <f t="shared" si="7"/>
        <v>#DIV/0!</v>
      </c>
    </row>
    <row r="280" spans="5:6" x14ac:dyDescent="0.3">
      <c r="E280"/>
      <c r="F280" t="e">
        <f t="shared" si="7"/>
        <v>#DIV/0!</v>
      </c>
    </row>
    <row r="281" spans="5:6" x14ac:dyDescent="0.3">
      <c r="E281"/>
      <c r="F281" t="e">
        <f t="shared" si="7"/>
        <v>#DIV/0!</v>
      </c>
    </row>
    <row r="282" spans="5:6" x14ac:dyDescent="0.3">
      <c r="E282"/>
      <c r="F282" t="e">
        <f t="shared" si="7"/>
        <v>#DIV/0!</v>
      </c>
    </row>
    <row r="283" spans="5:6" x14ac:dyDescent="0.3">
      <c r="E283"/>
      <c r="F283" t="e">
        <f t="shared" si="7"/>
        <v>#DIV/0!</v>
      </c>
    </row>
    <row r="284" spans="5:6" x14ac:dyDescent="0.3">
      <c r="E284"/>
      <c r="F284" t="e">
        <f t="shared" si="7"/>
        <v>#DIV/0!</v>
      </c>
    </row>
    <row r="285" spans="5:6" x14ac:dyDescent="0.3">
      <c r="E285"/>
      <c r="F285" t="e">
        <f t="shared" si="7"/>
        <v>#DIV/0!</v>
      </c>
    </row>
    <row r="286" spans="5:6" x14ac:dyDescent="0.3">
      <c r="E286"/>
      <c r="F286" t="e">
        <f t="shared" si="7"/>
        <v>#DIV/0!</v>
      </c>
    </row>
    <row r="287" spans="5:6" x14ac:dyDescent="0.3">
      <c r="E287"/>
      <c r="F287" t="e">
        <f t="shared" si="7"/>
        <v>#DIV/0!</v>
      </c>
    </row>
    <row r="288" spans="5:6" x14ac:dyDescent="0.3">
      <c r="E288"/>
      <c r="F288" t="e">
        <f t="shared" si="7"/>
        <v>#DIV/0!</v>
      </c>
    </row>
    <row r="289" spans="5:6" x14ac:dyDescent="0.3">
      <c r="E289"/>
      <c r="F289" t="e">
        <f t="shared" si="7"/>
        <v>#DIV/0!</v>
      </c>
    </row>
    <row r="290" spans="5:6" x14ac:dyDescent="0.3">
      <c r="E290"/>
      <c r="F290" t="e">
        <f t="shared" si="7"/>
        <v>#DIV/0!</v>
      </c>
    </row>
    <row r="291" spans="5:6" x14ac:dyDescent="0.3">
      <c r="E291"/>
      <c r="F291" t="e">
        <f t="shared" si="7"/>
        <v>#DIV/0!</v>
      </c>
    </row>
    <row r="292" spans="5:6" x14ac:dyDescent="0.3">
      <c r="E292"/>
      <c r="F292" t="e">
        <f t="shared" si="7"/>
        <v>#DIV/0!</v>
      </c>
    </row>
    <row r="293" spans="5:6" x14ac:dyDescent="0.3">
      <c r="E293"/>
      <c r="F293" t="e">
        <f t="shared" si="7"/>
        <v>#DIV/0!</v>
      </c>
    </row>
    <row r="294" spans="5:6" x14ac:dyDescent="0.3">
      <c r="E294"/>
      <c r="F294" t="e">
        <f t="shared" si="7"/>
        <v>#DIV/0!</v>
      </c>
    </row>
    <row r="295" spans="5:6" x14ac:dyDescent="0.3">
      <c r="E295"/>
      <c r="F295" t="e">
        <f t="shared" si="7"/>
        <v>#DIV/0!</v>
      </c>
    </row>
    <row r="296" spans="5:6" x14ac:dyDescent="0.3">
      <c r="E296"/>
      <c r="F296" t="e">
        <f t="shared" si="7"/>
        <v>#DIV/0!</v>
      </c>
    </row>
    <row r="297" spans="5:6" x14ac:dyDescent="0.3">
      <c r="E297"/>
      <c r="F297" t="e">
        <f t="shared" si="7"/>
        <v>#DIV/0!</v>
      </c>
    </row>
    <row r="298" spans="5:6" x14ac:dyDescent="0.3">
      <c r="E298"/>
      <c r="F298" t="e">
        <f t="shared" si="7"/>
        <v>#DIV/0!</v>
      </c>
    </row>
    <row r="299" spans="5:6" x14ac:dyDescent="0.3">
      <c r="E299"/>
      <c r="F299" t="e">
        <f t="shared" si="7"/>
        <v>#DIV/0!</v>
      </c>
    </row>
    <row r="300" spans="5:6" x14ac:dyDescent="0.3">
      <c r="E300"/>
      <c r="F300" t="e">
        <f t="shared" si="7"/>
        <v>#DIV/0!</v>
      </c>
    </row>
    <row r="301" spans="5:6" x14ac:dyDescent="0.3">
      <c r="E301"/>
      <c r="F301" t="e">
        <f t="shared" si="7"/>
        <v>#DIV/0!</v>
      </c>
    </row>
    <row r="302" spans="5:6" x14ac:dyDescent="0.3">
      <c r="E302"/>
      <c r="F302" t="e">
        <f t="shared" si="7"/>
        <v>#DIV/0!</v>
      </c>
    </row>
    <row r="303" spans="5:6" x14ac:dyDescent="0.3">
      <c r="E303"/>
      <c r="F303" t="e">
        <f t="shared" si="7"/>
        <v>#DIV/0!</v>
      </c>
    </row>
    <row r="304" spans="5:6" x14ac:dyDescent="0.3">
      <c r="E304"/>
      <c r="F304" t="e">
        <f t="shared" si="7"/>
        <v>#DIV/0!</v>
      </c>
    </row>
    <row r="305" spans="5:6" x14ac:dyDescent="0.3">
      <c r="E305"/>
      <c r="F305" t="e">
        <f t="shared" si="7"/>
        <v>#DIV/0!</v>
      </c>
    </row>
    <row r="306" spans="5:6" x14ac:dyDescent="0.3">
      <c r="E306"/>
      <c r="F306" t="e">
        <f t="shared" si="7"/>
        <v>#DIV/0!</v>
      </c>
    </row>
    <row r="307" spans="5:6" x14ac:dyDescent="0.3">
      <c r="E307"/>
      <c r="F307" t="e">
        <f t="shared" si="7"/>
        <v>#DIV/0!</v>
      </c>
    </row>
    <row r="308" spans="5:6" x14ac:dyDescent="0.3">
      <c r="E308"/>
      <c r="F308" t="e">
        <f t="shared" si="7"/>
        <v>#DIV/0!</v>
      </c>
    </row>
    <row r="309" spans="5:6" x14ac:dyDescent="0.3">
      <c r="E309"/>
      <c r="F309" t="e">
        <f t="shared" si="7"/>
        <v>#DIV/0!</v>
      </c>
    </row>
    <row r="310" spans="5:6" x14ac:dyDescent="0.3">
      <c r="E310"/>
      <c r="F310" t="e">
        <f t="shared" si="7"/>
        <v>#DIV/0!</v>
      </c>
    </row>
    <row r="311" spans="5:6" x14ac:dyDescent="0.3">
      <c r="E311"/>
      <c r="F311" t="e">
        <f t="shared" si="7"/>
        <v>#DIV/0!</v>
      </c>
    </row>
    <row r="312" spans="5:6" x14ac:dyDescent="0.3">
      <c r="E312"/>
      <c r="F312" t="e">
        <f t="shared" si="7"/>
        <v>#DIV/0!</v>
      </c>
    </row>
    <row r="313" spans="5:6" x14ac:dyDescent="0.3">
      <c r="E313"/>
      <c r="F313" t="e">
        <f t="shared" si="7"/>
        <v>#DIV/0!</v>
      </c>
    </row>
    <row r="314" spans="5:6" x14ac:dyDescent="0.3">
      <c r="E314"/>
      <c r="F314" t="e">
        <f t="shared" si="7"/>
        <v>#DIV/0!</v>
      </c>
    </row>
    <row r="315" spans="5:6" x14ac:dyDescent="0.3">
      <c r="E315"/>
      <c r="F315" t="e">
        <f t="shared" si="7"/>
        <v>#DIV/0!</v>
      </c>
    </row>
    <row r="316" spans="5:6" x14ac:dyDescent="0.3">
      <c r="E316"/>
      <c r="F316" t="e">
        <f t="shared" si="7"/>
        <v>#DIV/0!</v>
      </c>
    </row>
    <row r="317" spans="5:6" x14ac:dyDescent="0.3">
      <c r="E317"/>
      <c r="F317" t="e">
        <f t="shared" si="7"/>
        <v>#DIV/0!</v>
      </c>
    </row>
    <row r="318" spans="5:6" x14ac:dyDescent="0.3">
      <c r="E318"/>
      <c r="F318" t="e">
        <f t="shared" si="7"/>
        <v>#DIV/0!</v>
      </c>
    </row>
    <row r="319" spans="5:6" x14ac:dyDescent="0.3">
      <c r="E319"/>
      <c r="F319" t="e">
        <f t="shared" si="7"/>
        <v>#DIV/0!</v>
      </c>
    </row>
    <row r="320" spans="5:6" x14ac:dyDescent="0.3">
      <c r="E320"/>
      <c r="F320" t="e">
        <f t="shared" si="7"/>
        <v>#DIV/0!</v>
      </c>
    </row>
    <row r="321" spans="5:6" x14ac:dyDescent="0.3">
      <c r="E321"/>
      <c r="F321" t="e">
        <f t="shared" si="7"/>
        <v>#DIV/0!</v>
      </c>
    </row>
    <row r="322" spans="5:6" x14ac:dyDescent="0.3">
      <c r="E322"/>
      <c r="F322" t="e">
        <f t="shared" si="7"/>
        <v>#DIV/0!</v>
      </c>
    </row>
    <row r="323" spans="5:6" x14ac:dyDescent="0.3">
      <c r="E323"/>
      <c r="F323" t="e">
        <f t="shared" si="7"/>
        <v>#DIV/0!</v>
      </c>
    </row>
    <row r="324" spans="5:6" x14ac:dyDescent="0.3">
      <c r="E324"/>
      <c r="F324" t="e">
        <f t="shared" si="7"/>
        <v>#DIV/0!</v>
      </c>
    </row>
    <row r="325" spans="5:6" x14ac:dyDescent="0.3">
      <c r="E325"/>
      <c r="F325" t="e">
        <f t="shared" ref="F325:F388" si="8">B325/D325</f>
        <v>#DIV/0!</v>
      </c>
    </row>
    <row r="326" spans="5:6" x14ac:dyDescent="0.3">
      <c r="E326"/>
      <c r="F326" t="e">
        <f t="shared" si="8"/>
        <v>#DIV/0!</v>
      </c>
    </row>
    <row r="327" spans="5:6" x14ac:dyDescent="0.3">
      <c r="E327"/>
      <c r="F327" t="e">
        <f t="shared" si="8"/>
        <v>#DIV/0!</v>
      </c>
    </row>
    <row r="328" spans="5:6" x14ac:dyDescent="0.3">
      <c r="E328"/>
      <c r="F328" t="e">
        <f t="shared" si="8"/>
        <v>#DIV/0!</v>
      </c>
    </row>
    <row r="329" spans="5:6" x14ac:dyDescent="0.3">
      <c r="E329"/>
      <c r="F329" t="e">
        <f t="shared" si="8"/>
        <v>#DIV/0!</v>
      </c>
    </row>
    <row r="330" spans="5:6" x14ac:dyDescent="0.3">
      <c r="E330"/>
      <c r="F330" t="e">
        <f t="shared" si="8"/>
        <v>#DIV/0!</v>
      </c>
    </row>
    <row r="331" spans="5:6" x14ac:dyDescent="0.3">
      <c r="E331"/>
      <c r="F331" t="e">
        <f t="shared" si="8"/>
        <v>#DIV/0!</v>
      </c>
    </row>
    <row r="332" spans="5:6" x14ac:dyDescent="0.3">
      <c r="E332"/>
      <c r="F332" t="e">
        <f t="shared" si="8"/>
        <v>#DIV/0!</v>
      </c>
    </row>
    <row r="333" spans="5:6" x14ac:dyDescent="0.3">
      <c r="E333"/>
      <c r="F333" t="e">
        <f t="shared" si="8"/>
        <v>#DIV/0!</v>
      </c>
    </row>
    <row r="334" spans="5:6" x14ac:dyDescent="0.3">
      <c r="E334"/>
      <c r="F334" t="e">
        <f t="shared" si="8"/>
        <v>#DIV/0!</v>
      </c>
    </row>
    <row r="335" spans="5:6" x14ac:dyDescent="0.3">
      <c r="E335"/>
      <c r="F335" t="e">
        <f t="shared" si="8"/>
        <v>#DIV/0!</v>
      </c>
    </row>
    <row r="336" spans="5:6" x14ac:dyDescent="0.3">
      <c r="E336"/>
      <c r="F336" t="e">
        <f t="shared" si="8"/>
        <v>#DIV/0!</v>
      </c>
    </row>
    <row r="337" spans="5:6" x14ac:dyDescent="0.3">
      <c r="E337"/>
      <c r="F337" t="e">
        <f t="shared" si="8"/>
        <v>#DIV/0!</v>
      </c>
    </row>
    <row r="338" spans="5:6" x14ac:dyDescent="0.3">
      <c r="E338"/>
      <c r="F338" t="e">
        <f t="shared" si="8"/>
        <v>#DIV/0!</v>
      </c>
    </row>
    <row r="339" spans="5:6" x14ac:dyDescent="0.3">
      <c r="E339"/>
      <c r="F339" t="e">
        <f t="shared" si="8"/>
        <v>#DIV/0!</v>
      </c>
    </row>
    <row r="340" spans="5:6" x14ac:dyDescent="0.3">
      <c r="E340"/>
      <c r="F340" t="e">
        <f t="shared" si="8"/>
        <v>#DIV/0!</v>
      </c>
    </row>
    <row r="341" spans="5:6" x14ac:dyDescent="0.3">
      <c r="E341"/>
      <c r="F341" t="e">
        <f t="shared" si="8"/>
        <v>#DIV/0!</v>
      </c>
    </row>
    <row r="342" spans="5:6" x14ac:dyDescent="0.3">
      <c r="E342"/>
      <c r="F342" t="e">
        <f t="shared" si="8"/>
        <v>#DIV/0!</v>
      </c>
    </row>
    <row r="343" spans="5:6" x14ac:dyDescent="0.3">
      <c r="E343"/>
      <c r="F343" t="e">
        <f t="shared" si="8"/>
        <v>#DIV/0!</v>
      </c>
    </row>
    <row r="344" spans="5:6" x14ac:dyDescent="0.3">
      <c r="E344"/>
      <c r="F344" t="e">
        <f t="shared" si="8"/>
        <v>#DIV/0!</v>
      </c>
    </row>
    <row r="345" spans="5:6" x14ac:dyDescent="0.3">
      <c r="E345"/>
      <c r="F345" t="e">
        <f t="shared" si="8"/>
        <v>#DIV/0!</v>
      </c>
    </row>
    <row r="346" spans="5:6" x14ac:dyDescent="0.3">
      <c r="E346"/>
      <c r="F346" t="e">
        <f t="shared" si="8"/>
        <v>#DIV/0!</v>
      </c>
    </row>
    <row r="347" spans="5:6" x14ac:dyDescent="0.3">
      <c r="E347"/>
      <c r="F347" t="e">
        <f t="shared" si="8"/>
        <v>#DIV/0!</v>
      </c>
    </row>
    <row r="348" spans="5:6" x14ac:dyDescent="0.3">
      <c r="E348"/>
      <c r="F348" t="e">
        <f t="shared" si="8"/>
        <v>#DIV/0!</v>
      </c>
    </row>
    <row r="349" spans="5:6" x14ac:dyDescent="0.3">
      <c r="E349"/>
      <c r="F349" t="e">
        <f t="shared" si="8"/>
        <v>#DIV/0!</v>
      </c>
    </row>
    <row r="350" spans="5:6" x14ac:dyDescent="0.3">
      <c r="E350"/>
      <c r="F350" t="e">
        <f t="shared" si="8"/>
        <v>#DIV/0!</v>
      </c>
    </row>
    <row r="351" spans="5:6" x14ac:dyDescent="0.3">
      <c r="E351"/>
      <c r="F351" t="e">
        <f t="shared" si="8"/>
        <v>#DIV/0!</v>
      </c>
    </row>
    <row r="352" spans="5:6" x14ac:dyDescent="0.3">
      <c r="E352"/>
      <c r="F352" t="e">
        <f t="shared" si="8"/>
        <v>#DIV/0!</v>
      </c>
    </row>
    <row r="353" spans="5:6" x14ac:dyDescent="0.3">
      <c r="E353"/>
      <c r="F353" t="e">
        <f t="shared" si="8"/>
        <v>#DIV/0!</v>
      </c>
    </row>
    <row r="354" spans="5:6" x14ac:dyDescent="0.3">
      <c r="E354"/>
      <c r="F354" t="e">
        <f t="shared" si="8"/>
        <v>#DIV/0!</v>
      </c>
    </row>
    <row r="355" spans="5:6" x14ac:dyDescent="0.3">
      <c r="E355"/>
      <c r="F355" t="e">
        <f t="shared" si="8"/>
        <v>#DIV/0!</v>
      </c>
    </row>
    <row r="356" spans="5:6" x14ac:dyDescent="0.3">
      <c r="E356"/>
      <c r="F356" t="e">
        <f t="shared" si="8"/>
        <v>#DIV/0!</v>
      </c>
    </row>
    <row r="357" spans="5:6" x14ac:dyDescent="0.3">
      <c r="E357"/>
      <c r="F357" t="e">
        <f t="shared" si="8"/>
        <v>#DIV/0!</v>
      </c>
    </row>
    <row r="358" spans="5:6" x14ac:dyDescent="0.3">
      <c r="E358"/>
      <c r="F358" t="e">
        <f t="shared" si="8"/>
        <v>#DIV/0!</v>
      </c>
    </row>
    <row r="359" spans="5:6" x14ac:dyDescent="0.3">
      <c r="E359"/>
      <c r="F359" t="e">
        <f t="shared" si="8"/>
        <v>#DIV/0!</v>
      </c>
    </row>
    <row r="360" spans="5:6" x14ac:dyDescent="0.3">
      <c r="E360"/>
      <c r="F360" t="e">
        <f t="shared" si="8"/>
        <v>#DIV/0!</v>
      </c>
    </row>
    <row r="361" spans="5:6" x14ac:dyDescent="0.3">
      <c r="E361"/>
      <c r="F361" t="e">
        <f t="shared" si="8"/>
        <v>#DIV/0!</v>
      </c>
    </row>
    <row r="362" spans="5:6" x14ac:dyDescent="0.3">
      <c r="E362"/>
      <c r="F362" t="e">
        <f t="shared" si="8"/>
        <v>#DIV/0!</v>
      </c>
    </row>
    <row r="363" spans="5:6" x14ac:dyDescent="0.3">
      <c r="E363"/>
      <c r="F363" t="e">
        <f t="shared" si="8"/>
        <v>#DIV/0!</v>
      </c>
    </row>
    <row r="364" spans="5:6" x14ac:dyDescent="0.3">
      <c r="E364"/>
      <c r="F364" t="e">
        <f t="shared" si="8"/>
        <v>#DIV/0!</v>
      </c>
    </row>
    <row r="365" spans="5:6" x14ac:dyDescent="0.3">
      <c r="E365"/>
      <c r="F365" t="e">
        <f t="shared" si="8"/>
        <v>#DIV/0!</v>
      </c>
    </row>
    <row r="366" spans="5:6" x14ac:dyDescent="0.3">
      <c r="E366"/>
      <c r="F366" t="e">
        <f t="shared" si="8"/>
        <v>#DIV/0!</v>
      </c>
    </row>
    <row r="367" spans="5:6" x14ac:dyDescent="0.3">
      <c r="E367"/>
      <c r="F367" t="e">
        <f t="shared" si="8"/>
        <v>#DIV/0!</v>
      </c>
    </row>
    <row r="368" spans="5:6" x14ac:dyDescent="0.3">
      <c r="E368"/>
      <c r="F368" t="e">
        <f t="shared" si="8"/>
        <v>#DIV/0!</v>
      </c>
    </row>
    <row r="369" spans="5:6" x14ac:dyDescent="0.3">
      <c r="E369"/>
      <c r="F369" t="e">
        <f t="shared" si="8"/>
        <v>#DIV/0!</v>
      </c>
    </row>
    <row r="370" spans="5:6" x14ac:dyDescent="0.3">
      <c r="E370"/>
      <c r="F370" t="e">
        <f t="shared" si="8"/>
        <v>#DIV/0!</v>
      </c>
    </row>
    <row r="371" spans="5:6" x14ac:dyDescent="0.3">
      <c r="E371"/>
      <c r="F371" t="e">
        <f t="shared" si="8"/>
        <v>#DIV/0!</v>
      </c>
    </row>
    <row r="372" spans="5:6" x14ac:dyDescent="0.3">
      <c r="E372"/>
      <c r="F372" t="e">
        <f t="shared" si="8"/>
        <v>#DIV/0!</v>
      </c>
    </row>
    <row r="373" spans="5:6" x14ac:dyDescent="0.3">
      <c r="E373"/>
      <c r="F373" t="e">
        <f t="shared" si="8"/>
        <v>#DIV/0!</v>
      </c>
    </row>
    <row r="374" spans="5:6" x14ac:dyDescent="0.3">
      <c r="E374"/>
      <c r="F374" t="e">
        <f t="shared" si="8"/>
        <v>#DIV/0!</v>
      </c>
    </row>
    <row r="375" spans="5:6" x14ac:dyDescent="0.3">
      <c r="E375"/>
      <c r="F375" t="e">
        <f t="shared" si="8"/>
        <v>#DIV/0!</v>
      </c>
    </row>
    <row r="376" spans="5:6" x14ac:dyDescent="0.3">
      <c r="E376"/>
      <c r="F376" t="e">
        <f t="shared" si="8"/>
        <v>#DIV/0!</v>
      </c>
    </row>
    <row r="377" spans="5:6" x14ac:dyDescent="0.3">
      <c r="E377"/>
      <c r="F377" t="e">
        <f t="shared" si="8"/>
        <v>#DIV/0!</v>
      </c>
    </row>
    <row r="378" spans="5:6" x14ac:dyDescent="0.3">
      <c r="E378"/>
      <c r="F378" t="e">
        <f t="shared" si="8"/>
        <v>#DIV/0!</v>
      </c>
    </row>
    <row r="379" spans="5:6" x14ac:dyDescent="0.3">
      <c r="E379"/>
      <c r="F379" t="e">
        <f t="shared" si="8"/>
        <v>#DIV/0!</v>
      </c>
    </row>
    <row r="380" spans="5:6" x14ac:dyDescent="0.3">
      <c r="E380"/>
      <c r="F380" t="e">
        <f t="shared" si="8"/>
        <v>#DIV/0!</v>
      </c>
    </row>
    <row r="381" spans="5:6" x14ac:dyDescent="0.3">
      <c r="E381"/>
      <c r="F381" t="e">
        <f t="shared" si="8"/>
        <v>#DIV/0!</v>
      </c>
    </row>
    <row r="382" spans="5:6" x14ac:dyDescent="0.3">
      <c r="E382"/>
      <c r="F382" t="e">
        <f t="shared" si="8"/>
        <v>#DIV/0!</v>
      </c>
    </row>
    <row r="383" spans="5:6" x14ac:dyDescent="0.3">
      <c r="E383"/>
      <c r="F383" t="e">
        <f t="shared" si="8"/>
        <v>#DIV/0!</v>
      </c>
    </row>
    <row r="384" spans="5:6" x14ac:dyDescent="0.3">
      <c r="E384"/>
      <c r="F384" t="e">
        <f t="shared" si="8"/>
        <v>#DIV/0!</v>
      </c>
    </row>
    <row r="385" spans="5:6" x14ac:dyDescent="0.3">
      <c r="E385"/>
      <c r="F385" t="e">
        <f t="shared" si="8"/>
        <v>#DIV/0!</v>
      </c>
    </row>
    <row r="386" spans="5:6" x14ac:dyDescent="0.3">
      <c r="E386"/>
      <c r="F386" t="e">
        <f t="shared" si="8"/>
        <v>#DIV/0!</v>
      </c>
    </row>
    <row r="387" spans="5:6" x14ac:dyDescent="0.3">
      <c r="E387"/>
      <c r="F387" t="e">
        <f t="shared" si="8"/>
        <v>#DIV/0!</v>
      </c>
    </row>
    <row r="388" spans="5:6" x14ac:dyDescent="0.3">
      <c r="E388"/>
      <c r="F388" t="e">
        <f t="shared" si="8"/>
        <v>#DIV/0!</v>
      </c>
    </row>
    <row r="389" spans="5:6" x14ac:dyDescent="0.3">
      <c r="E389"/>
      <c r="F389" t="e">
        <f t="shared" ref="F389:F452" si="9">B389/D389</f>
        <v>#DIV/0!</v>
      </c>
    </row>
    <row r="390" spans="5:6" x14ac:dyDescent="0.3">
      <c r="E390"/>
      <c r="F390" t="e">
        <f t="shared" si="9"/>
        <v>#DIV/0!</v>
      </c>
    </row>
    <row r="391" spans="5:6" x14ac:dyDescent="0.3">
      <c r="E391"/>
      <c r="F391" t="e">
        <f t="shared" si="9"/>
        <v>#DIV/0!</v>
      </c>
    </row>
    <row r="392" spans="5:6" x14ac:dyDescent="0.3">
      <c r="E392"/>
      <c r="F392" t="e">
        <f t="shared" si="9"/>
        <v>#DIV/0!</v>
      </c>
    </row>
    <row r="393" spans="5:6" x14ac:dyDescent="0.3">
      <c r="E393"/>
      <c r="F393" t="e">
        <f t="shared" si="9"/>
        <v>#DIV/0!</v>
      </c>
    </row>
    <row r="394" spans="5:6" x14ac:dyDescent="0.3">
      <c r="E394"/>
      <c r="F394" t="e">
        <f t="shared" si="9"/>
        <v>#DIV/0!</v>
      </c>
    </row>
    <row r="395" spans="5:6" x14ac:dyDescent="0.3">
      <c r="E395"/>
      <c r="F395" t="e">
        <f t="shared" si="9"/>
        <v>#DIV/0!</v>
      </c>
    </row>
    <row r="396" spans="5:6" x14ac:dyDescent="0.3">
      <c r="E396"/>
      <c r="F396" t="e">
        <f t="shared" si="9"/>
        <v>#DIV/0!</v>
      </c>
    </row>
    <row r="397" spans="5:6" x14ac:dyDescent="0.3">
      <c r="E397"/>
      <c r="F397" t="e">
        <f t="shared" si="9"/>
        <v>#DIV/0!</v>
      </c>
    </row>
    <row r="398" spans="5:6" x14ac:dyDescent="0.3">
      <c r="E398"/>
      <c r="F398" t="e">
        <f t="shared" si="9"/>
        <v>#DIV/0!</v>
      </c>
    </row>
    <row r="399" spans="5:6" x14ac:dyDescent="0.3">
      <c r="E399"/>
      <c r="F399" t="e">
        <f t="shared" si="9"/>
        <v>#DIV/0!</v>
      </c>
    </row>
    <row r="400" spans="5:6" x14ac:dyDescent="0.3">
      <c r="E400"/>
      <c r="F400" t="e">
        <f t="shared" si="9"/>
        <v>#DIV/0!</v>
      </c>
    </row>
    <row r="401" spans="5:6" x14ac:dyDescent="0.3">
      <c r="E401"/>
      <c r="F401" t="e">
        <f t="shared" si="9"/>
        <v>#DIV/0!</v>
      </c>
    </row>
    <row r="402" spans="5:6" x14ac:dyDescent="0.3">
      <c r="E402"/>
      <c r="F402" t="e">
        <f t="shared" si="9"/>
        <v>#DIV/0!</v>
      </c>
    </row>
    <row r="403" spans="5:6" x14ac:dyDescent="0.3">
      <c r="E403"/>
      <c r="F403" t="e">
        <f t="shared" si="9"/>
        <v>#DIV/0!</v>
      </c>
    </row>
    <row r="404" spans="5:6" x14ac:dyDescent="0.3">
      <c r="E404"/>
      <c r="F404" t="e">
        <f t="shared" si="9"/>
        <v>#DIV/0!</v>
      </c>
    </row>
    <row r="405" spans="5:6" x14ac:dyDescent="0.3">
      <c r="E405"/>
      <c r="F405" t="e">
        <f t="shared" si="9"/>
        <v>#DIV/0!</v>
      </c>
    </row>
    <row r="406" spans="5:6" x14ac:dyDescent="0.3">
      <c r="E406"/>
      <c r="F406" t="e">
        <f t="shared" si="9"/>
        <v>#DIV/0!</v>
      </c>
    </row>
    <row r="407" spans="5:6" x14ac:dyDescent="0.3">
      <c r="E407"/>
      <c r="F407" t="e">
        <f t="shared" si="9"/>
        <v>#DIV/0!</v>
      </c>
    </row>
    <row r="408" spans="5:6" x14ac:dyDescent="0.3">
      <c r="E408"/>
      <c r="F408" t="e">
        <f t="shared" si="9"/>
        <v>#DIV/0!</v>
      </c>
    </row>
    <row r="409" spans="5:6" x14ac:dyDescent="0.3">
      <c r="E409"/>
      <c r="F409" t="e">
        <f t="shared" si="9"/>
        <v>#DIV/0!</v>
      </c>
    </row>
    <row r="410" spans="5:6" x14ac:dyDescent="0.3">
      <c r="E410"/>
      <c r="F410" t="e">
        <f t="shared" si="9"/>
        <v>#DIV/0!</v>
      </c>
    </row>
    <row r="411" spans="5:6" x14ac:dyDescent="0.3">
      <c r="E411"/>
      <c r="F411" t="e">
        <f t="shared" si="9"/>
        <v>#DIV/0!</v>
      </c>
    </row>
    <row r="412" spans="5:6" x14ac:dyDescent="0.3">
      <c r="E412"/>
      <c r="F412" t="e">
        <f t="shared" si="9"/>
        <v>#DIV/0!</v>
      </c>
    </row>
    <row r="413" spans="5:6" x14ac:dyDescent="0.3">
      <c r="E413"/>
      <c r="F413" t="e">
        <f t="shared" si="9"/>
        <v>#DIV/0!</v>
      </c>
    </row>
    <row r="414" spans="5:6" x14ac:dyDescent="0.3">
      <c r="E414"/>
      <c r="F414" t="e">
        <f t="shared" si="9"/>
        <v>#DIV/0!</v>
      </c>
    </row>
    <row r="415" spans="5:6" x14ac:dyDescent="0.3">
      <c r="E415"/>
      <c r="F415" t="e">
        <f t="shared" si="9"/>
        <v>#DIV/0!</v>
      </c>
    </row>
    <row r="416" spans="5:6" x14ac:dyDescent="0.3">
      <c r="E416"/>
      <c r="F416" t="e">
        <f t="shared" si="9"/>
        <v>#DIV/0!</v>
      </c>
    </row>
    <row r="417" spans="5:6" x14ac:dyDescent="0.3">
      <c r="E417"/>
      <c r="F417" t="e">
        <f t="shared" si="9"/>
        <v>#DIV/0!</v>
      </c>
    </row>
    <row r="418" spans="5:6" x14ac:dyDescent="0.3">
      <c r="E418"/>
      <c r="F418" t="e">
        <f t="shared" si="9"/>
        <v>#DIV/0!</v>
      </c>
    </row>
    <row r="419" spans="5:6" x14ac:dyDescent="0.3">
      <c r="E419"/>
      <c r="F419" t="e">
        <f t="shared" si="9"/>
        <v>#DIV/0!</v>
      </c>
    </row>
    <row r="420" spans="5:6" x14ac:dyDescent="0.3">
      <c r="E420"/>
      <c r="F420" t="e">
        <f t="shared" si="9"/>
        <v>#DIV/0!</v>
      </c>
    </row>
    <row r="421" spans="5:6" x14ac:dyDescent="0.3">
      <c r="E421"/>
      <c r="F421" t="e">
        <f t="shared" si="9"/>
        <v>#DIV/0!</v>
      </c>
    </row>
    <row r="422" spans="5:6" x14ac:dyDescent="0.3">
      <c r="E422"/>
      <c r="F422" t="e">
        <f t="shared" si="9"/>
        <v>#DIV/0!</v>
      </c>
    </row>
    <row r="423" spans="5:6" x14ac:dyDescent="0.3">
      <c r="E423"/>
      <c r="F423" t="e">
        <f t="shared" si="9"/>
        <v>#DIV/0!</v>
      </c>
    </row>
    <row r="424" spans="5:6" x14ac:dyDescent="0.3">
      <c r="E424"/>
      <c r="F424" t="e">
        <f t="shared" si="9"/>
        <v>#DIV/0!</v>
      </c>
    </row>
    <row r="425" spans="5:6" x14ac:dyDescent="0.3">
      <c r="E425"/>
      <c r="F425" t="e">
        <f t="shared" si="9"/>
        <v>#DIV/0!</v>
      </c>
    </row>
    <row r="426" spans="5:6" x14ac:dyDescent="0.3">
      <c r="E426"/>
      <c r="F426" t="e">
        <f t="shared" si="9"/>
        <v>#DIV/0!</v>
      </c>
    </row>
    <row r="427" spans="5:6" x14ac:dyDescent="0.3">
      <c r="E427"/>
      <c r="F427" t="e">
        <f t="shared" si="9"/>
        <v>#DIV/0!</v>
      </c>
    </row>
    <row r="428" spans="5:6" x14ac:dyDescent="0.3">
      <c r="E428"/>
      <c r="F428" t="e">
        <f t="shared" si="9"/>
        <v>#DIV/0!</v>
      </c>
    </row>
    <row r="429" spans="5:6" x14ac:dyDescent="0.3">
      <c r="E429"/>
      <c r="F429" t="e">
        <f t="shared" si="9"/>
        <v>#DIV/0!</v>
      </c>
    </row>
    <row r="430" spans="5:6" x14ac:dyDescent="0.3">
      <c r="E430"/>
      <c r="F430" t="e">
        <f t="shared" si="9"/>
        <v>#DIV/0!</v>
      </c>
    </row>
    <row r="431" spans="5:6" x14ac:dyDescent="0.3">
      <c r="E431"/>
      <c r="F431" t="e">
        <f t="shared" si="9"/>
        <v>#DIV/0!</v>
      </c>
    </row>
    <row r="432" spans="5:6" x14ac:dyDescent="0.3">
      <c r="E432"/>
      <c r="F432" t="e">
        <f t="shared" si="9"/>
        <v>#DIV/0!</v>
      </c>
    </row>
    <row r="433" spans="5:6" x14ac:dyDescent="0.3">
      <c r="E433"/>
      <c r="F433" t="e">
        <f t="shared" si="9"/>
        <v>#DIV/0!</v>
      </c>
    </row>
    <row r="434" spans="5:6" x14ac:dyDescent="0.3">
      <c r="E434"/>
      <c r="F434" t="e">
        <f t="shared" si="9"/>
        <v>#DIV/0!</v>
      </c>
    </row>
    <row r="435" spans="5:6" x14ac:dyDescent="0.3">
      <c r="E435"/>
      <c r="F435" t="e">
        <f t="shared" si="9"/>
        <v>#DIV/0!</v>
      </c>
    </row>
    <row r="436" spans="5:6" x14ac:dyDescent="0.3">
      <c r="E436"/>
      <c r="F436" t="e">
        <f t="shared" si="9"/>
        <v>#DIV/0!</v>
      </c>
    </row>
    <row r="437" spans="5:6" x14ac:dyDescent="0.3">
      <c r="E437"/>
      <c r="F437" t="e">
        <f t="shared" si="9"/>
        <v>#DIV/0!</v>
      </c>
    </row>
    <row r="438" spans="5:6" x14ac:dyDescent="0.3">
      <c r="E438"/>
      <c r="F438" t="e">
        <f t="shared" si="9"/>
        <v>#DIV/0!</v>
      </c>
    </row>
    <row r="439" spans="5:6" x14ac:dyDescent="0.3">
      <c r="E439"/>
      <c r="F439" t="e">
        <f t="shared" si="9"/>
        <v>#DIV/0!</v>
      </c>
    </row>
    <row r="440" spans="5:6" x14ac:dyDescent="0.3">
      <c r="E440"/>
      <c r="F440" t="e">
        <f t="shared" si="9"/>
        <v>#DIV/0!</v>
      </c>
    </row>
    <row r="441" spans="5:6" x14ac:dyDescent="0.3">
      <c r="E441"/>
      <c r="F441" t="e">
        <f t="shared" si="9"/>
        <v>#DIV/0!</v>
      </c>
    </row>
    <row r="442" spans="5:6" x14ac:dyDescent="0.3">
      <c r="E442"/>
      <c r="F442" t="e">
        <f t="shared" si="9"/>
        <v>#DIV/0!</v>
      </c>
    </row>
    <row r="443" spans="5:6" x14ac:dyDescent="0.3">
      <c r="E443"/>
      <c r="F443" t="e">
        <f t="shared" si="9"/>
        <v>#DIV/0!</v>
      </c>
    </row>
    <row r="444" spans="5:6" x14ac:dyDescent="0.3">
      <c r="E444"/>
      <c r="F444" t="e">
        <f t="shared" si="9"/>
        <v>#DIV/0!</v>
      </c>
    </row>
    <row r="445" spans="5:6" x14ac:dyDescent="0.3">
      <c r="E445"/>
      <c r="F445" t="e">
        <f t="shared" si="9"/>
        <v>#DIV/0!</v>
      </c>
    </row>
    <row r="446" spans="5:6" x14ac:dyDescent="0.3">
      <c r="E446"/>
      <c r="F446" t="e">
        <f t="shared" si="9"/>
        <v>#DIV/0!</v>
      </c>
    </row>
    <row r="447" spans="5:6" x14ac:dyDescent="0.3">
      <c r="E447"/>
      <c r="F447" t="e">
        <f t="shared" si="9"/>
        <v>#DIV/0!</v>
      </c>
    </row>
    <row r="448" spans="5:6" x14ac:dyDescent="0.3">
      <c r="E448"/>
      <c r="F448" t="e">
        <f t="shared" si="9"/>
        <v>#DIV/0!</v>
      </c>
    </row>
    <row r="449" spans="5:6" x14ac:dyDescent="0.3">
      <c r="E449"/>
      <c r="F449" t="e">
        <f t="shared" si="9"/>
        <v>#DIV/0!</v>
      </c>
    </row>
    <row r="450" spans="5:6" x14ac:dyDescent="0.3">
      <c r="E450"/>
      <c r="F450" t="e">
        <f t="shared" si="9"/>
        <v>#DIV/0!</v>
      </c>
    </row>
    <row r="451" spans="5:6" x14ac:dyDescent="0.3">
      <c r="E451"/>
      <c r="F451" t="e">
        <f t="shared" si="9"/>
        <v>#DIV/0!</v>
      </c>
    </row>
    <row r="452" spans="5:6" x14ac:dyDescent="0.3">
      <c r="E452"/>
      <c r="F452" t="e">
        <f t="shared" si="9"/>
        <v>#DIV/0!</v>
      </c>
    </row>
    <row r="453" spans="5:6" x14ac:dyDescent="0.3">
      <c r="E453"/>
      <c r="F453" t="e">
        <f t="shared" ref="F453:F516" si="10">B453/D453</f>
        <v>#DIV/0!</v>
      </c>
    </row>
    <row r="454" spans="5:6" x14ac:dyDescent="0.3">
      <c r="E454"/>
      <c r="F454" t="e">
        <f t="shared" si="10"/>
        <v>#DIV/0!</v>
      </c>
    </row>
    <row r="455" spans="5:6" x14ac:dyDescent="0.3">
      <c r="E455"/>
      <c r="F455" t="e">
        <f t="shared" si="10"/>
        <v>#DIV/0!</v>
      </c>
    </row>
    <row r="456" spans="5:6" x14ac:dyDescent="0.3">
      <c r="E456"/>
      <c r="F456" t="e">
        <f t="shared" si="10"/>
        <v>#DIV/0!</v>
      </c>
    </row>
    <row r="457" spans="5:6" x14ac:dyDescent="0.3">
      <c r="E457"/>
      <c r="F457" t="e">
        <f t="shared" si="10"/>
        <v>#DIV/0!</v>
      </c>
    </row>
    <row r="458" spans="5:6" x14ac:dyDescent="0.3">
      <c r="E458"/>
      <c r="F458" t="e">
        <f t="shared" si="10"/>
        <v>#DIV/0!</v>
      </c>
    </row>
    <row r="459" spans="5:6" x14ac:dyDescent="0.3">
      <c r="E459"/>
      <c r="F459" t="e">
        <f t="shared" si="10"/>
        <v>#DIV/0!</v>
      </c>
    </row>
    <row r="460" spans="5:6" x14ac:dyDescent="0.3">
      <c r="E460"/>
      <c r="F460" t="e">
        <f t="shared" si="10"/>
        <v>#DIV/0!</v>
      </c>
    </row>
    <row r="461" spans="5:6" x14ac:dyDescent="0.3">
      <c r="E461"/>
      <c r="F461" t="e">
        <f t="shared" si="10"/>
        <v>#DIV/0!</v>
      </c>
    </row>
    <row r="462" spans="5:6" x14ac:dyDescent="0.3">
      <c r="E462"/>
      <c r="F462" t="e">
        <f t="shared" si="10"/>
        <v>#DIV/0!</v>
      </c>
    </row>
    <row r="463" spans="5:6" x14ac:dyDescent="0.3">
      <c r="E463"/>
      <c r="F463" t="e">
        <f t="shared" si="10"/>
        <v>#DIV/0!</v>
      </c>
    </row>
    <row r="464" spans="5:6" x14ac:dyDescent="0.3">
      <c r="E464"/>
      <c r="F464" t="e">
        <f t="shared" si="10"/>
        <v>#DIV/0!</v>
      </c>
    </row>
    <row r="465" spans="5:6" x14ac:dyDescent="0.3">
      <c r="E465"/>
      <c r="F465" t="e">
        <f t="shared" si="10"/>
        <v>#DIV/0!</v>
      </c>
    </row>
    <row r="466" spans="5:6" x14ac:dyDescent="0.3">
      <c r="E466"/>
      <c r="F466" t="e">
        <f t="shared" si="10"/>
        <v>#DIV/0!</v>
      </c>
    </row>
    <row r="467" spans="5:6" x14ac:dyDescent="0.3">
      <c r="E467"/>
      <c r="F467" t="e">
        <f t="shared" si="10"/>
        <v>#DIV/0!</v>
      </c>
    </row>
    <row r="468" spans="5:6" x14ac:dyDescent="0.3">
      <c r="E468"/>
      <c r="F468" t="e">
        <f t="shared" si="10"/>
        <v>#DIV/0!</v>
      </c>
    </row>
    <row r="469" spans="5:6" x14ac:dyDescent="0.3">
      <c r="E469"/>
      <c r="F469" t="e">
        <f t="shared" si="10"/>
        <v>#DIV/0!</v>
      </c>
    </row>
    <row r="470" spans="5:6" x14ac:dyDescent="0.3">
      <c r="E470"/>
      <c r="F470" t="e">
        <f t="shared" si="10"/>
        <v>#DIV/0!</v>
      </c>
    </row>
    <row r="471" spans="5:6" x14ac:dyDescent="0.3">
      <c r="E471"/>
      <c r="F471" t="e">
        <f t="shared" si="10"/>
        <v>#DIV/0!</v>
      </c>
    </row>
    <row r="472" spans="5:6" x14ac:dyDescent="0.3">
      <c r="E472"/>
      <c r="F472" t="e">
        <f t="shared" si="10"/>
        <v>#DIV/0!</v>
      </c>
    </row>
    <row r="473" spans="5:6" x14ac:dyDescent="0.3">
      <c r="E473"/>
      <c r="F473" t="e">
        <f t="shared" si="10"/>
        <v>#DIV/0!</v>
      </c>
    </row>
    <row r="474" spans="5:6" x14ac:dyDescent="0.3">
      <c r="E474"/>
      <c r="F474" t="e">
        <f t="shared" si="10"/>
        <v>#DIV/0!</v>
      </c>
    </row>
    <row r="475" spans="5:6" x14ac:dyDescent="0.3">
      <c r="E475"/>
      <c r="F475" t="e">
        <f t="shared" si="10"/>
        <v>#DIV/0!</v>
      </c>
    </row>
    <row r="476" spans="5:6" x14ac:dyDescent="0.3">
      <c r="E476"/>
      <c r="F476" t="e">
        <f t="shared" si="10"/>
        <v>#DIV/0!</v>
      </c>
    </row>
    <row r="477" spans="5:6" x14ac:dyDescent="0.3">
      <c r="E477"/>
      <c r="F477" t="e">
        <f t="shared" si="10"/>
        <v>#DIV/0!</v>
      </c>
    </row>
    <row r="478" spans="5:6" x14ac:dyDescent="0.3">
      <c r="E478"/>
      <c r="F478" t="e">
        <f t="shared" si="10"/>
        <v>#DIV/0!</v>
      </c>
    </row>
    <row r="479" spans="5:6" x14ac:dyDescent="0.3">
      <c r="E479"/>
      <c r="F479" t="e">
        <f t="shared" si="10"/>
        <v>#DIV/0!</v>
      </c>
    </row>
    <row r="480" spans="5:6" x14ac:dyDescent="0.3">
      <c r="E480"/>
      <c r="F480" t="e">
        <f t="shared" si="10"/>
        <v>#DIV/0!</v>
      </c>
    </row>
    <row r="481" spans="5:6" x14ac:dyDescent="0.3">
      <c r="E481"/>
      <c r="F481" t="e">
        <f t="shared" si="10"/>
        <v>#DIV/0!</v>
      </c>
    </row>
    <row r="482" spans="5:6" x14ac:dyDescent="0.3">
      <c r="E482"/>
      <c r="F482" t="e">
        <f t="shared" si="10"/>
        <v>#DIV/0!</v>
      </c>
    </row>
    <row r="483" spans="5:6" x14ac:dyDescent="0.3">
      <c r="E483"/>
      <c r="F483" t="e">
        <f t="shared" si="10"/>
        <v>#DIV/0!</v>
      </c>
    </row>
    <row r="484" spans="5:6" x14ac:dyDescent="0.3">
      <c r="E484"/>
      <c r="F484" t="e">
        <f t="shared" si="10"/>
        <v>#DIV/0!</v>
      </c>
    </row>
    <row r="485" spans="5:6" x14ac:dyDescent="0.3">
      <c r="E485"/>
      <c r="F485" t="e">
        <f t="shared" si="10"/>
        <v>#DIV/0!</v>
      </c>
    </row>
    <row r="486" spans="5:6" x14ac:dyDescent="0.3">
      <c r="E486"/>
      <c r="F486" t="e">
        <f t="shared" si="10"/>
        <v>#DIV/0!</v>
      </c>
    </row>
    <row r="487" spans="5:6" x14ac:dyDescent="0.3">
      <c r="E487"/>
      <c r="F487" t="e">
        <f t="shared" si="10"/>
        <v>#DIV/0!</v>
      </c>
    </row>
    <row r="488" spans="5:6" x14ac:dyDescent="0.3">
      <c r="E488"/>
      <c r="F488" t="e">
        <f t="shared" si="10"/>
        <v>#DIV/0!</v>
      </c>
    </row>
    <row r="489" spans="5:6" x14ac:dyDescent="0.3">
      <c r="E489"/>
      <c r="F489" t="e">
        <f t="shared" si="10"/>
        <v>#DIV/0!</v>
      </c>
    </row>
    <row r="490" spans="5:6" x14ac:dyDescent="0.3">
      <c r="E490"/>
      <c r="F490" t="e">
        <f t="shared" si="10"/>
        <v>#DIV/0!</v>
      </c>
    </row>
    <row r="491" spans="5:6" x14ac:dyDescent="0.3">
      <c r="E491"/>
      <c r="F491" t="e">
        <f t="shared" si="10"/>
        <v>#DIV/0!</v>
      </c>
    </row>
    <row r="492" spans="5:6" x14ac:dyDescent="0.3">
      <c r="E492"/>
      <c r="F492" t="e">
        <f t="shared" si="10"/>
        <v>#DIV/0!</v>
      </c>
    </row>
    <row r="493" spans="5:6" x14ac:dyDescent="0.3">
      <c r="E493"/>
      <c r="F493" t="e">
        <f t="shared" si="10"/>
        <v>#DIV/0!</v>
      </c>
    </row>
    <row r="494" spans="5:6" x14ac:dyDescent="0.3">
      <c r="E494"/>
      <c r="F494" t="e">
        <f t="shared" si="10"/>
        <v>#DIV/0!</v>
      </c>
    </row>
    <row r="495" spans="5:6" x14ac:dyDescent="0.3">
      <c r="E495"/>
      <c r="F495" t="e">
        <f t="shared" si="10"/>
        <v>#DIV/0!</v>
      </c>
    </row>
    <row r="496" spans="5:6" x14ac:dyDescent="0.3">
      <c r="E496"/>
      <c r="F496" t="e">
        <f t="shared" si="10"/>
        <v>#DIV/0!</v>
      </c>
    </row>
    <row r="497" spans="5:6" x14ac:dyDescent="0.3">
      <c r="E497"/>
      <c r="F497" t="e">
        <f t="shared" si="10"/>
        <v>#DIV/0!</v>
      </c>
    </row>
    <row r="498" spans="5:6" x14ac:dyDescent="0.3">
      <c r="E498"/>
      <c r="F498" t="e">
        <f t="shared" si="10"/>
        <v>#DIV/0!</v>
      </c>
    </row>
    <row r="499" spans="5:6" x14ac:dyDescent="0.3">
      <c r="E499"/>
      <c r="F499" t="e">
        <f t="shared" si="10"/>
        <v>#DIV/0!</v>
      </c>
    </row>
    <row r="500" spans="5:6" x14ac:dyDescent="0.3">
      <c r="E500"/>
      <c r="F500" t="e">
        <f t="shared" si="10"/>
        <v>#DIV/0!</v>
      </c>
    </row>
    <row r="501" spans="5:6" x14ac:dyDescent="0.3">
      <c r="E501"/>
      <c r="F501" t="e">
        <f t="shared" si="10"/>
        <v>#DIV/0!</v>
      </c>
    </row>
    <row r="502" spans="5:6" x14ac:dyDescent="0.3">
      <c r="E502"/>
      <c r="F502" t="e">
        <f t="shared" si="10"/>
        <v>#DIV/0!</v>
      </c>
    </row>
    <row r="503" spans="5:6" x14ac:dyDescent="0.3">
      <c r="E503"/>
      <c r="F503" t="e">
        <f t="shared" si="10"/>
        <v>#DIV/0!</v>
      </c>
    </row>
    <row r="504" spans="5:6" x14ac:dyDescent="0.3">
      <c r="E504"/>
      <c r="F504" t="e">
        <f t="shared" si="10"/>
        <v>#DIV/0!</v>
      </c>
    </row>
    <row r="505" spans="5:6" x14ac:dyDescent="0.3">
      <c r="E505"/>
      <c r="F505" t="e">
        <f t="shared" si="10"/>
        <v>#DIV/0!</v>
      </c>
    </row>
    <row r="506" spans="5:6" x14ac:dyDescent="0.3">
      <c r="E506"/>
      <c r="F506" t="e">
        <f t="shared" si="10"/>
        <v>#DIV/0!</v>
      </c>
    </row>
    <row r="507" spans="5:6" x14ac:dyDescent="0.3">
      <c r="E507"/>
      <c r="F507" t="e">
        <f t="shared" si="10"/>
        <v>#DIV/0!</v>
      </c>
    </row>
    <row r="508" spans="5:6" x14ac:dyDescent="0.3">
      <c r="E508"/>
      <c r="F508" t="e">
        <f t="shared" si="10"/>
        <v>#DIV/0!</v>
      </c>
    </row>
    <row r="509" spans="5:6" x14ac:dyDescent="0.3">
      <c r="E509"/>
      <c r="F509" t="e">
        <f t="shared" si="10"/>
        <v>#DIV/0!</v>
      </c>
    </row>
    <row r="510" spans="5:6" x14ac:dyDescent="0.3">
      <c r="E510"/>
      <c r="F510" t="e">
        <f t="shared" si="10"/>
        <v>#DIV/0!</v>
      </c>
    </row>
    <row r="511" spans="5:6" x14ac:dyDescent="0.3">
      <c r="E511"/>
      <c r="F511" t="e">
        <f t="shared" si="10"/>
        <v>#DIV/0!</v>
      </c>
    </row>
    <row r="512" spans="5:6" x14ac:dyDescent="0.3">
      <c r="E512"/>
      <c r="F512" t="e">
        <f t="shared" si="10"/>
        <v>#DIV/0!</v>
      </c>
    </row>
    <row r="513" spans="5:6" x14ac:dyDescent="0.3">
      <c r="E513"/>
      <c r="F513" t="e">
        <f t="shared" si="10"/>
        <v>#DIV/0!</v>
      </c>
    </row>
    <row r="514" spans="5:6" x14ac:dyDescent="0.3">
      <c r="E514"/>
      <c r="F514" t="e">
        <f t="shared" si="10"/>
        <v>#DIV/0!</v>
      </c>
    </row>
    <row r="515" spans="5:6" x14ac:dyDescent="0.3">
      <c r="E515"/>
      <c r="F515" t="e">
        <f t="shared" si="10"/>
        <v>#DIV/0!</v>
      </c>
    </row>
    <row r="516" spans="5:6" x14ac:dyDescent="0.3">
      <c r="E516"/>
      <c r="F516" t="e">
        <f t="shared" si="10"/>
        <v>#DIV/0!</v>
      </c>
    </row>
    <row r="517" spans="5:6" x14ac:dyDescent="0.3">
      <c r="E517"/>
      <c r="F517" t="e">
        <f t="shared" ref="F517:F580" si="11">B517/D517</f>
        <v>#DIV/0!</v>
      </c>
    </row>
    <row r="518" spans="5:6" x14ac:dyDescent="0.3">
      <c r="E518"/>
      <c r="F518" t="e">
        <f t="shared" si="11"/>
        <v>#DIV/0!</v>
      </c>
    </row>
    <row r="519" spans="5:6" x14ac:dyDescent="0.3">
      <c r="E519"/>
      <c r="F519" t="e">
        <f t="shared" si="11"/>
        <v>#DIV/0!</v>
      </c>
    </row>
    <row r="520" spans="5:6" x14ac:dyDescent="0.3">
      <c r="E520"/>
      <c r="F520" t="e">
        <f t="shared" si="11"/>
        <v>#DIV/0!</v>
      </c>
    </row>
    <row r="521" spans="5:6" x14ac:dyDescent="0.3">
      <c r="E521"/>
      <c r="F521" t="e">
        <f t="shared" si="11"/>
        <v>#DIV/0!</v>
      </c>
    </row>
    <row r="522" spans="5:6" x14ac:dyDescent="0.3">
      <c r="E522"/>
      <c r="F522" t="e">
        <f t="shared" si="11"/>
        <v>#DIV/0!</v>
      </c>
    </row>
    <row r="523" spans="5:6" x14ac:dyDescent="0.3">
      <c r="E523"/>
      <c r="F523" t="e">
        <f t="shared" si="11"/>
        <v>#DIV/0!</v>
      </c>
    </row>
    <row r="524" spans="5:6" x14ac:dyDescent="0.3">
      <c r="E524"/>
      <c r="F524" t="e">
        <f t="shared" si="11"/>
        <v>#DIV/0!</v>
      </c>
    </row>
    <row r="525" spans="5:6" x14ac:dyDescent="0.3">
      <c r="E525"/>
      <c r="F525" t="e">
        <f t="shared" si="11"/>
        <v>#DIV/0!</v>
      </c>
    </row>
    <row r="526" spans="5:6" x14ac:dyDescent="0.3">
      <c r="E526"/>
      <c r="F526" t="e">
        <f t="shared" si="11"/>
        <v>#DIV/0!</v>
      </c>
    </row>
    <row r="527" spans="5:6" x14ac:dyDescent="0.3">
      <c r="E527"/>
      <c r="F527" t="e">
        <f t="shared" si="11"/>
        <v>#DIV/0!</v>
      </c>
    </row>
    <row r="528" spans="5:6" x14ac:dyDescent="0.3">
      <c r="E528"/>
      <c r="F528" t="e">
        <f t="shared" si="11"/>
        <v>#DIV/0!</v>
      </c>
    </row>
    <row r="529" spans="5:6" x14ac:dyDescent="0.3">
      <c r="E529"/>
      <c r="F529" t="e">
        <f t="shared" si="11"/>
        <v>#DIV/0!</v>
      </c>
    </row>
    <row r="530" spans="5:6" x14ac:dyDescent="0.3">
      <c r="E530"/>
      <c r="F530" t="e">
        <f t="shared" si="11"/>
        <v>#DIV/0!</v>
      </c>
    </row>
    <row r="531" spans="5:6" x14ac:dyDescent="0.3">
      <c r="E531"/>
      <c r="F531" t="e">
        <f t="shared" si="11"/>
        <v>#DIV/0!</v>
      </c>
    </row>
    <row r="532" spans="5:6" x14ac:dyDescent="0.3">
      <c r="E532"/>
      <c r="F532" t="e">
        <f t="shared" si="11"/>
        <v>#DIV/0!</v>
      </c>
    </row>
    <row r="533" spans="5:6" x14ac:dyDescent="0.3">
      <c r="E533"/>
      <c r="F533" t="e">
        <f t="shared" si="11"/>
        <v>#DIV/0!</v>
      </c>
    </row>
    <row r="534" spans="5:6" x14ac:dyDescent="0.3">
      <c r="E534"/>
      <c r="F534" t="e">
        <f t="shared" si="11"/>
        <v>#DIV/0!</v>
      </c>
    </row>
    <row r="535" spans="5:6" x14ac:dyDescent="0.3">
      <c r="E535"/>
      <c r="F535" t="e">
        <f t="shared" si="11"/>
        <v>#DIV/0!</v>
      </c>
    </row>
    <row r="536" spans="5:6" x14ac:dyDescent="0.3">
      <c r="E536"/>
      <c r="F536" t="e">
        <f t="shared" si="11"/>
        <v>#DIV/0!</v>
      </c>
    </row>
    <row r="537" spans="5:6" x14ac:dyDescent="0.3">
      <c r="E537"/>
      <c r="F537" t="e">
        <f t="shared" si="11"/>
        <v>#DIV/0!</v>
      </c>
    </row>
    <row r="538" spans="5:6" x14ac:dyDescent="0.3">
      <c r="E538"/>
      <c r="F538" t="e">
        <f t="shared" si="11"/>
        <v>#DIV/0!</v>
      </c>
    </row>
    <row r="539" spans="5:6" x14ac:dyDescent="0.3">
      <c r="E539"/>
      <c r="F539" t="e">
        <f t="shared" si="11"/>
        <v>#DIV/0!</v>
      </c>
    </row>
    <row r="540" spans="5:6" x14ac:dyDescent="0.3">
      <c r="E540"/>
      <c r="F540" t="e">
        <f t="shared" si="11"/>
        <v>#DIV/0!</v>
      </c>
    </row>
    <row r="541" spans="5:6" x14ac:dyDescent="0.3">
      <c r="E541"/>
      <c r="F541" t="e">
        <f t="shared" si="11"/>
        <v>#DIV/0!</v>
      </c>
    </row>
    <row r="542" spans="5:6" x14ac:dyDescent="0.3">
      <c r="E542"/>
      <c r="F542" t="e">
        <f t="shared" si="11"/>
        <v>#DIV/0!</v>
      </c>
    </row>
    <row r="543" spans="5:6" x14ac:dyDescent="0.3">
      <c r="E543"/>
      <c r="F543" t="e">
        <f t="shared" si="11"/>
        <v>#DIV/0!</v>
      </c>
    </row>
    <row r="544" spans="5:6" x14ac:dyDescent="0.3">
      <c r="E544"/>
      <c r="F544" t="e">
        <f t="shared" si="11"/>
        <v>#DIV/0!</v>
      </c>
    </row>
    <row r="545" spans="5:6" x14ac:dyDescent="0.3">
      <c r="E545"/>
      <c r="F545" t="e">
        <f t="shared" si="11"/>
        <v>#DIV/0!</v>
      </c>
    </row>
    <row r="546" spans="5:6" x14ac:dyDescent="0.3">
      <c r="E546"/>
      <c r="F546" t="e">
        <f t="shared" si="11"/>
        <v>#DIV/0!</v>
      </c>
    </row>
    <row r="547" spans="5:6" x14ac:dyDescent="0.3">
      <c r="E547"/>
      <c r="F547" t="e">
        <f t="shared" si="11"/>
        <v>#DIV/0!</v>
      </c>
    </row>
    <row r="548" spans="5:6" x14ac:dyDescent="0.3">
      <c r="E548"/>
      <c r="F548" t="e">
        <f t="shared" si="11"/>
        <v>#DIV/0!</v>
      </c>
    </row>
    <row r="549" spans="5:6" x14ac:dyDescent="0.3">
      <c r="E549"/>
      <c r="F549" t="e">
        <f t="shared" si="11"/>
        <v>#DIV/0!</v>
      </c>
    </row>
    <row r="550" spans="5:6" x14ac:dyDescent="0.3">
      <c r="E550"/>
      <c r="F550" t="e">
        <f t="shared" si="11"/>
        <v>#DIV/0!</v>
      </c>
    </row>
    <row r="551" spans="5:6" x14ac:dyDescent="0.3">
      <c r="E551"/>
      <c r="F551" t="e">
        <f t="shared" si="11"/>
        <v>#DIV/0!</v>
      </c>
    </row>
    <row r="552" spans="5:6" x14ac:dyDescent="0.3">
      <c r="E552"/>
      <c r="F552" t="e">
        <f t="shared" si="11"/>
        <v>#DIV/0!</v>
      </c>
    </row>
    <row r="553" spans="5:6" x14ac:dyDescent="0.3">
      <c r="E553"/>
      <c r="F553" t="e">
        <f t="shared" si="11"/>
        <v>#DIV/0!</v>
      </c>
    </row>
    <row r="554" spans="5:6" x14ac:dyDescent="0.3">
      <c r="E554"/>
      <c r="F554" t="e">
        <f t="shared" si="11"/>
        <v>#DIV/0!</v>
      </c>
    </row>
    <row r="555" spans="5:6" x14ac:dyDescent="0.3">
      <c r="E555"/>
      <c r="F555" t="e">
        <f t="shared" si="11"/>
        <v>#DIV/0!</v>
      </c>
    </row>
    <row r="556" spans="5:6" x14ac:dyDescent="0.3">
      <c r="E556"/>
      <c r="F556" t="e">
        <f t="shared" si="11"/>
        <v>#DIV/0!</v>
      </c>
    </row>
    <row r="557" spans="5:6" x14ac:dyDescent="0.3">
      <c r="E557"/>
      <c r="F557" t="e">
        <f t="shared" si="11"/>
        <v>#DIV/0!</v>
      </c>
    </row>
    <row r="558" spans="5:6" x14ac:dyDescent="0.3">
      <c r="E558"/>
      <c r="F558" t="e">
        <f t="shared" si="11"/>
        <v>#DIV/0!</v>
      </c>
    </row>
    <row r="559" spans="5:6" x14ac:dyDescent="0.3">
      <c r="E559"/>
      <c r="F559" t="e">
        <f t="shared" si="11"/>
        <v>#DIV/0!</v>
      </c>
    </row>
    <row r="560" spans="5:6" x14ac:dyDescent="0.3">
      <c r="E560"/>
      <c r="F560" t="e">
        <f t="shared" si="11"/>
        <v>#DIV/0!</v>
      </c>
    </row>
    <row r="561" spans="5:6" x14ac:dyDescent="0.3">
      <c r="E561"/>
      <c r="F561" t="e">
        <f t="shared" si="11"/>
        <v>#DIV/0!</v>
      </c>
    </row>
    <row r="562" spans="5:6" x14ac:dyDescent="0.3">
      <c r="E562"/>
      <c r="F562" t="e">
        <f t="shared" si="11"/>
        <v>#DIV/0!</v>
      </c>
    </row>
    <row r="563" spans="5:6" x14ac:dyDescent="0.3">
      <c r="E563"/>
      <c r="F563" t="e">
        <f t="shared" si="11"/>
        <v>#DIV/0!</v>
      </c>
    </row>
    <row r="564" spans="5:6" x14ac:dyDescent="0.3">
      <c r="E564"/>
      <c r="F564" t="e">
        <f t="shared" si="11"/>
        <v>#DIV/0!</v>
      </c>
    </row>
    <row r="565" spans="5:6" x14ac:dyDescent="0.3">
      <c r="E565"/>
      <c r="F565" t="e">
        <f t="shared" si="11"/>
        <v>#DIV/0!</v>
      </c>
    </row>
    <row r="566" spans="5:6" x14ac:dyDescent="0.3">
      <c r="E566"/>
      <c r="F566" t="e">
        <f t="shared" si="11"/>
        <v>#DIV/0!</v>
      </c>
    </row>
    <row r="567" spans="5:6" x14ac:dyDescent="0.3">
      <c r="E567"/>
      <c r="F567" t="e">
        <f t="shared" si="11"/>
        <v>#DIV/0!</v>
      </c>
    </row>
    <row r="568" spans="5:6" x14ac:dyDescent="0.3">
      <c r="E568"/>
      <c r="F568" t="e">
        <f t="shared" si="11"/>
        <v>#DIV/0!</v>
      </c>
    </row>
    <row r="569" spans="5:6" x14ac:dyDescent="0.3">
      <c r="E569"/>
      <c r="F569" t="e">
        <f t="shared" si="11"/>
        <v>#DIV/0!</v>
      </c>
    </row>
    <row r="570" spans="5:6" x14ac:dyDescent="0.3">
      <c r="E570"/>
      <c r="F570" t="e">
        <f t="shared" si="11"/>
        <v>#DIV/0!</v>
      </c>
    </row>
    <row r="571" spans="5:6" x14ac:dyDescent="0.3">
      <c r="E571"/>
      <c r="F571" t="e">
        <f t="shared" si="11"/>
        <v>#DIV/0!</v>
      </c>
    </row>
    <row r="572" spans="5:6" x14ac:dyDescent="0.3">
      <c r="E572"/>
      <c r="F572" t="e">
        <f t="shared" si="11"/>
        <v>#DIV/0!</v>
      </c>
    </row>
    <row r="573" spans="5:6" x14ac:dyDescent="0.3">
      <c r="E573"/>
      <c r="F573" t="e">
        <f t="shared" si="11"/>
        <v>#DIV/0!</v>
      </c>
    </row>
    <row r="574" spans="5:6" x14ac:dyDescent="0.3">
      <c r="E574"/>
      <c r="F574" t="e">
        <f t="shared" si="11"/>
        <v>#DIV/0!</v>
      </c>
    </row>
    <row r="575" spans="5:6" x14ac:dyDescent="0.3">
      <c r="E575"/>
      <c r="F575" t="e">
        <f t="shared" si="11"/>
        <v>#DIV/0!</v>
      </c>
    </row>
    <row r="576" spans="5:6" x14ac:dyDescent="0.3">
      <c r="E576"/>
      <c r="F576" t="e">
        <f t="shared" si="11"/>
        <v>#DIV/0!</v>
      </c>
    </row>
    <row r="577" spans="5:6" x14ac:dyDescent="0.3">
      <c r="E577"/>
      <c r="F577" t="e">
        <f t="shared" si="11"/>
        <v>#DIV/0!</v>
      </c>
    </row>
    <row r="578" spans="5:6" x14ac:dyDescent="0.3">
      <c r="E578"/>
      <c r="F578" t="e">
        <f t="shared" si="11"/>
        <v>#DIV/0!</v>
      </c>
    </row>
    <row r="579" spans="5:6" x14ac:dyDescent="0.3">
      <c r="E579"/>
      <c r="F579" t="e">
        <f t="shared" si="11"/>
        <v>#DIV/0!</v>
      </c>
    </row>
    <row r="580" spans="5:6" x14ac:dyDescent="0.3">
      <c r="E580"/>
      <c r="F580" t="e">
        <f t="shared" si="11"/>
        <v>#DIV/0!</v>
      </c>
    </row>
    <row r="581" spans="5:6" x14ac:dyDescent="0.3">
      <c r="E581"/>
      <c r="F581" t="e">
        <f t="shared" ref="F581:F596" si="12">B581/D581</f>
        <v>#DIV/0!</v>
      </c>
    </row>
    <row r="582" spans="5:6" x14ac:dyDescent="0.3">
      <c r="E582"/>
      <c r="F582" t="e">
        <f t="shared" si="12"/>
        <v>#DIV/0!</v>
      </c>
    </row>
    <row r="583" spans="5:6" x14ac:dyDescent="0.3">
      <c r="E583"/>
      <c r="F583" t="e">
        <f t="shared" si="12"/>
        <v>#DIV/0!</v>
      </c>
    </row>
    <row r="584" spans="5:6" x14ac:dyDescent="0.3">
      <c r="E584"/>
      <c r="F584" t="e">
        <f t="shared" si="12"/>
        <v>#DIV/0!</v>
      </c>
    </row>
    <row r="585" spans="5:6" x14ac:dyDescent="0.3">
      <c r="E585"/>
      <c r="F585" t="e">
        <f t="shared" si="12"/>
        <v>#DIV/0!</v>
      </c>
    </row>
    <row r="586" spans="5:6" x14ac:dyDescent="0.3">
      <c r="E586"/>
      <c r="F586" t="e">
        <f t="shared" si="12"/>
        <v>#DIV/0!</v>
      </c>
    </row>
    <row r="587" spans="5:6" x14ac:dyDescent="0.3">
      <c r="E587"/>
      <c r="F587" t="e">
        <f t="shared" si="12"/>
        <v>#DIV/0!</v>
      </c>
    </row>
    <row r="588" spans="5:6" x14ac:dyDescent="0.3">
      <c r="E588"/>
      <c r="F588" t="e">
        <f t="shared" si="12"/>
        <v>#DIV/0!</v>
      </c>
    </row>
    <row r="589" spans="5:6" x14ac:dyDescent="0.3">
      <c r="E589"/>
      <c r="F589" t="e">
        <f t="shared" si="12"/>
        <v>#DIV/0!</v>
      </c>
    </row>
    <row r="590" spans="5:6" x14ac:dyDescent="0.3">
      <c r="E590"/>
      <c r="F590" t="e">
        <f t="shared" si="12"/>
        <v>#DIV/0!</v>
      </c>
    </row>
    <row r="591" spans="5:6" x14ac:dyDescent="0.3">
      <c r="E591"/>
      <c r="F591" t="e">
        <f t="shared" si="12"/>
        <v>#DIV/0!</v>
      </c>
    </row>
    <row r="592" spans="5:6" x14ac:dyDescent="0.3">
      <c r="E592"/>
      <c r="F592" t="e">
        <f t="shared" si="12"/>
        <v>#DIV/0!</v>
      </c>
    </row>
    <row r="593" spans="5:6" x14ac:dyDescent="0.3">
      <c r="E593"/>
      <c r="F593" t="e">
        <f t="shared" si="12"/>
        <v>#DIV/0!</v>
      </c>
    </row>
    <row r="594" spans="5:6" x14ac:dyDescent="0.3">
      <c r="E594"/>
      <c r="F594" t="e">
        <f t="shared" si="12"/>
        <v>#DIV/0!</v>
      </c>
    </row>
    <row r="595" spans="5:6" x14ac:dyDescent="0.3">
      <c r="E595"/>
      <c r="F595" t="e">
        <f t="shared" si="12"/>
        <v>#DIV/0!</v>
      </c>
    </row>
    <row r="596" spans="5:6" x14ac:dyDescent="0.3">
      <c r="E596"/>
      <c r="F596" t="e">
        <f t="shared" si="12"/>
        <v>#DIV/0!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456E-7473-4730-8925-9B49530FFE9C}">
  <dimension ref="A1:I5"/>
  <sheetViews>
    <sheetView zoomScale="59" zoomScaleNormal="59" workbookViewId="0">
      <selection activeCell="T15" sqref="T15"/>
    </sheetView>
  </sheetViews>
  <sheetFormatPr defaultRowHeight="14.4" x14ac:dyDescent="0.3"/>
  <cols>
    <col min="1" max="1" width="25.6640625" customWidth="1"/>
    <col min="2" max="2" width="28.21875" customWidth="1"/>
    <col min="3" max="3" width="31.5546875" customWidth="1"/>
    <col min="4" max="4" width="2.33203125" customWidth="1"/>
    <col min="5" max="5" width="21.77734375" customWidth="1"/>
    <col min="7" max="7" width="8.88671875" customWidth="1"/>
  </cols>
  <sheetData>
    <row r="1" spans="1:9" ht="33.6" x14ac:dyDescent="0.65">
      <c r="A1" s="12"/>
      <c r="B1" s="24" t="s">
        <v>228</v>
      </c>
      <c r="C1" s="24"/>
      <c r="D1" s="24"/>
      <c r="E1" s="24"/>
      <c r="F1" s="24"/>
      <c r="G1" s="24"/>
    </row>
    <row r="2" spans="1:9" ht="18" x14ac:dyDescent="0.35">
      <c r="B2" s="23" t="s">
        <v>229</v>
      </c>
      <c r="C2" s="23"/>
      <c r="D2" s="23"/>
      <c r="E2" s="23"/>
      <c r="F2" s="23"/>
      <c r="G2" s="23"/>
    </row>
    <row r="4" spans="1:9" ht="25.8" x14ac:dyDescent="0.5">
      <c r="A4" s="18" t="s">
        <v>216</v>
      </c>
      <c r="B4" s="21" t="s">
        <v>217</v>
      </c>
      <c r="C4" s="25" t="s">
        <v>218</v>
      </c>
      <c r="D4" s="25"/>
      <c r="E4" s="25" t="s">
        <v>230</v>
      </c>
      <c r="F4" s="25"/>
      <c r="G4" s="25" t="s">
        <v>231</v>
      </c>
      <c r="H4" s="27"/>
      <c r="I4" s="27"/>
    </row>
    <row r="5" spans="1:9" ht="23.4" x14ac:dyDescent="0.45">
      <c r="A5" s="19">
        <v>29256204</v>
      </c>
      <c r="B5" s="20">
        <v>3420022.5</v>
      </c>
      <c r="C5" s="18">
        <v>796</v>
      </c>
      <c r="D5" s="22"/>
      <c r="E5" s="28">
        <v>2370</v>
      </c>
      <c r="F5" s="28"/>
      <c r="G5" s="26">
        <v>11.96</v>
      </c>
      <c r="H5" s="26"/>
      <c r="I5" s="26"/>
    </row>
  </sheetData>
  <mergeCells count="7">
    <mergeCell ref="E5:F5"/>
    <mergeCell ref="C4:D4"/>
    <mergeCell ref="G4:I4"/>
    <mergeCell ref="G5:I5"/>
    <mergeCell ref="B1:G1"/>
    <mergeCell ref="B2:G2"/>
    <mergeCell ref="E4:F4"/>
  </mergeCells>
  <phoneticPr fontId="22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8789-6565-457E-9A2A-95CD726A0194}">
  <dimension ref="A1:L797"/>
  <sheetViews>
    <sheetView zoomScale="169" workbookViewId="0">
      <selection activeCell="L6" sqref="A1:XFD1048576"/>
    </sheetView>
  </sheetViews>
  <sheetFormatPr defaultRowHeight="14.4" x14ac:dyDescent="0.3"/>
  <cols>
    <col min="2" max="2" width="10.33203125" bestFit="1" customWidth="1"/>
    <col min="3" max="3" width="13.33203125" bestFit="1" customWidth="1"/>
    <col min="4" max="4" width="11.109375" bestFit="1" customWidth="1"/>
    <col min="12" max="1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">
      <c r="A2">
        <v>10001</v>
      </c>
      <c r="B2" s="1">
        <v>45764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>
        <v>540</v>
      </c>
      <c r="I2">
        <v>0.25</v>
      </c>
      <c r="J2">
        <v>144</v>
      </c>
      <c r="L2" s="1"/>
    </row>
    <row r="3" spans="1:12" x14ac:dyDescent="0.3">
      <c r="A3">
        <v>10002</v>
      </c>
      <c r="B3" s="1">
        <v>45988</v>
      </c>
      <c r="C3" t="s">
        <v>14</v>
      </c>
      <c r="D3" t="s">
        <v>15</v>
      </c>
      <c r="E3" t="s">
        <v>16</v>
      </c>
      <c r="F3" t="s">
        <v>13</v>
      </c>
      <c r="G3">
        <v>2</v>
      </c>
      <c r="H3">
        <v>30000</v>
      </c>
      <c r="I3">
        <v>0</v>
      </c>
      <c r="J3">
        <v>8400</v>
      </c>
    </row>
    <row r="4" spans="1:12" x14ac:dyDescent="0.3">
      <c r="A4">
        <v>10003</v>
      </c>
      <c r="B4" s="1">
        <v>45915</v>
      </c>
      <c r="C4" t="s">
        <v>14</v>
      </c>
      <c r="D4" t="s">
        <v>17</v>
      </c>
      <c r="E4" t="s">
        <v>16</v>
      </c>
      <c r="F4" t="s">
        <v>18</v>
      </c>
      <c r="G4">
        <v>3</v>
      </c>
      <c r="H4">
        <v>36000</v>
      </c>
      <c r="I4">
        <v>0</v>
      </c>
      <c r="J4">
        <v>10080</v>
      </c>
    </row>
    <row r="5" spans="1:12" x14ac:dyDescent="0.3">
      <c r="A5">
        <v>10004</v>
      </c>
      <c r="B5" s="1">
        <v>45934</v>
      </c>
      <c r="C5" t="s">
        <v>19</v>
      </c>
      <c r="D5" t="s">
        <v>20</v>
      </c>
      <c r="E5" t="s">
        <v>12</v>
      </c>
      <c r="F5" t="s">
        <v>21</v>
      </c>
      <c r="G5">
        <v>2</v>
      </c>
      <c r="H5">
        <v>475</v>
      </c>
      <c r="I5">
        <v>0.05</v>
      </c>
      <c r="J5">
        <v>200</v>
      </c>
      <c r="L5" s="2"/>
    </row>
    <row r="6" spans="1:12" x14ac:dyDescent="0.3">
      <c r="A6">
        <v>10005</v>
      </c>
      <c r="B6" s="1">
        <v>45827</v>
      </c>
      <c r="C6" t="s">
        <v>22</v>
      </c>
      <c r="D6" t="s">
        <v>23</v>
      </c>
      <c r="E6" t="s">
        <v>24</v>
      </c>
      <c r="F6" t="s">
        <v>21</v>
      </c>
      <c r="G6">
        <v>1</v>
      </c>
      <c r="H6">
        <v>1080</v>
      </c>
      <c r="I6">
        <v>0.1</v>
      </c>
      <c r="J6">
        <v>300</v>
      </c>
    </row>
    <row r="7" spans="1:12" x14ac:dyDescent="0.3">
      <c r="A7">
        <v>10006</v>
      </c>
      <c r="B7" s="1">
        <v>45977</v>
      </c>
      <c r="C7" t="s">
        <v>25</v>
      </c>
      <c r="D7" t="s">
        <v>26</v>
      </c>
      <c r="E7" t="s">
        <v>27</v>
      </c>
      <c r="F7" t="s">
        <v>13</v>
      </c>
      <c r="G7">
        <v>4</v>
      </c>
      <c r="H7">
        <v>16200</v>
      </c>
      <c r="I7">
        <v>0.1</v>
      </c>
      <c r="J7">
        <v>1440</v>
      </c>
    </row>
    <row r="8" spans="1:12" x14ac:dyDescent="0.3">
      <c r="A8">
        <v>10007</v>
      </c>
      <c r="B8" s="1">
        <v>45931</v>
      </c>
      <c r="C8" t="s">
        <v>28</v>
      </c>
      <c r="D8" t="s">
        <v>26</v>
      </c>
      <c r="E8" t="s">
        <v>27</v>
      </c>
      <c r="F8" t="s">
        <v>13</v>
      </c>
      <c r="G8">
        <v>5</v>
      </c>
      <c r="H8">
        <v>20250</v>
      </c>
      <c r="I8">
        <v>0.1</v>
      </c>
      <c r="J8">
        <v>1800</v>
      </c>
    </row>
    <row r="9" spans="1:12" x14ac:dyDescent="0.3">
      <c r="A9">
        <v>10008</v>
      </c>
      <c r="B9" s="1">
        <v>45710</v>
      </c>
      <c r="C9" t="s">
        <v>29</v>
      </c>
      <c r="D9" t="s">
        <v>30</v>
      </c>
      <c r="E9" t="s">
        <v>27</v>
      </c>
      <c r="F9" t="s">
        <v>18</v>
      </c>
      <c r="G9">
        <v>2</v>
      </c>
      <c r="H9">
        <v>57000</v>
      </c>
      <c r="I9">
        <v>0.05</v>
      </c>
      <c r="J9">
        <v>7800</v>
      </c>
    </row>
    <row r="10" spans="1:12" x14ac:dyDescent="0.3">
      <c r="A10">
        <v>10009</v>
      </c>
      <c r="B10" s="1">
        <v>45692</v>
      </c>
      <c r="C10" t="s">
        <v>31</v>
      </c>
      <c r="D10" t="s">
        <v>11</v>
      </c>
      <c r="E10" t="s">
        <v>12</v>
      </c>
      <c r="F10" t="s">
        <v>18</v>
      </c>
      <c r="G10">
        <v>4</v>
      </c>
      <c r="H10">
        <v>648</v>
      </c>
      <c r="I10">
        <v>0.1</v>
      </c>
      <c r="J10">
        <v>252</v>
      </c>
      <c r="L10" s="3"/>
    </row>
    <row r="11" spans="1:12" x14ac:dyDescent="0.3">
      <c r="A11">
        <v>10010</v>
      </c>
      <c r="B11" s="1">
        <v>45711</v>
      </c>
      <c r="C11" t="s">
        <v>32</v>
      </c>
      <c r="D11" t="s">
        <v>30</v>
      </c>
      <c r="E11" t="s">
        <v>27</v>
      </c>
      <c r="F11" t="s">
        <v>18</v>
      </c>
      <c r="G11">
        <v>4</v>
      </c>
      <c r="H11">
        <v>114000</v>
      </c>
      <c r="I11">
        <v>0.05</v>
      </c>
      <c r="J11">
        <v>15600</v>
      </c>
    </row>
    <row r="12" spans="1:12" x14ac:dyDescent="0.3">
      <c r="A12">
        <v>10011</v>
      </c>
      <c r="B12" s="1">
        <v>45875</v>
      </c>
      <c r="C12" t="s">
        <v>33</v>
      </c>
      <c r="D12" t="s">
        <v>20</v>
      </c>
      <c r="E12" t="s">
        <v>12</v>
      </c>
      <c r="F12" t="s">
        <v>21</v>
      </c>
      <c r="G12">
        <v>5</v>
      </c>
      <c r="H12">
        <v>937.5</v>
      </c>
      <c r="I12">
        <v>0.25</v>
      </c>
      <c r="J12">
        <v>250</v>
      </c>
    </row>
    <row r="13" spans="1:12" x14ac:dyDescent="0.3">
      <c r="A13">
        <v>10012</v>
      </c>
      <c r="B13" s="1">
        <v>45961</v>
      </c>
      <c r="C13" t="s">
        <v>22</v>
      </c>
      <c r="D13" t="s">
        <v>34</v>
      </c>
      <c r="E13" t="s">
        <v>24</v>
      </c>
      <c r="F13" t="s">
        <v>18</v>
      </c>
      <c r="G13">
        <v>4</v>
      </c>
      <c r="H13">
        <v>7920</v>
      </c>
      <c r="I13">
        <v>0.1</v>
      </c>
      <c r="J13">
        <v>2200</v>
      </c>
    </row>
    <row r="14" spans="1:12" x14ac:dyDescent="0.3">
      <c r="A14">
        <v>10013</v>
      </c>
      <c r="B14" s="1">
        <v>45953</v>
      </c>
      <c r="C14" t="s">
        <v>35</v>
      </c>
      <c r="D14" t="s">
        <v>11</v>
      </c>
      <c r="E14" t="s">
        <v>12</v>
      </c>
      <c r="F14" t="s">
        <v>36</v>
      </c>
      <c r="G14">
        <v>4</v>
      </c>
      <c r="H14">
        <v>720</v>
      </c>
      <c r="I14">
        <v>0</v>
      </c>
      <c r="J14">
        <v>324</v>
      </c>
    </row>
    <row r="15" spans="1:12" x14ac:dyDescent="0.3">
      <c r="A15">
        <v>10014</v>
      </c>
      <c r="B15" s="1">
        <v>45845</v>
      </c>
      <c r="C15" t="s">
        <v>37</v>
      </c>
      <c r="D15" t="s">
        <v>15</v>
      </c>
      <c r="E15" t="s">
        <v>16</v>
      </c>
      <c r="F15" t="s">
        <v>13</v>
      </c>
      <c r="G15">
        <v>2</v>
      </c>
      <c r="H15">
        <v>22500</v>
      </c>
      <c r="I15">
        <v>0.25</v>
      </c>
      <c r="J15">
        <v>900</v>
      </c>
    </row>
    <row r="16" spans="1:12" x14ac:dyDescent="0.3">
      <c r="A16">
        <v>10015</v>
      </c>
      <c r="B16" s="1">
        <v>45722</v>
      </c>
      <c r="C16" t="s">
        <v>38</v>
      </c>
      <c r="D16" t="s">
        <v>23</v>
      </c>
      <c r="E16" t="s">
        <v>24</v>
      </c>
      <c r="F16" t="s">
        <v>36</v>
      </c>
      <c r="G16">
        <v>5</v>
      </c>
      <c r="H16">
        <v>5100</v>
      </c>
      <c r="I16">
        <v>0.15</v>
      </c>
      <c r="J16">
        <v>1200</v>
      </c>
    </row>
    <row r="17" spans="1:12" x14ac:dyDescent="0.3">
      <c r="A17">
        <v>10016</v>
      </c>
      <c r="B17" s="1">
        <v>45720</v>
      </c>
      <c r="C17" t="s">
        <v>39</v>
      </c>
      <c r="D17" t="s">
        <v>23</v>
      </c>
      <c r="E17" t="s">
        <v>24</v>
      </c>
      <c r="F17" t="s">
        <v>36</v>
      </c>
      <c r="G17">
        <v>1</v>
      </c>
      <c r="H17">
        <v>1140</v>
      </c>
      <c r="I17">
        <v>0.05</v>
      </c>
      <c r="J17">
        <v>360</v>
      </c>
    </row>
    <row r="18" spans="1:12" x14ac:dyDescent="0.3">
      <c r="A18">
        <v>10017</v>
      </c>
      <c r="B18" s="1">
        <v>45918</v>
      </c>
      <c r="C18" t="s">
        <v>40</v>
      </c>
      <c r="D18" t="s">
        <v>41</v>
      </c>
      <c r="E18" t="s">
        <v>27</v>
      </c>
      <c r="F18" t="s">
        <v>18</v>
      </c>
      <c r="G18">
        <v>3</v>
      </c>
      <c r="H18">
        <v>140250</v>
      </c>
      <c r="I18">
        <v>0.15</v>
      </c>
      <c r="J18">
        <v>4950</v>
      </c>
    </row>
    <row r="19" spans="1:12" x14ac:dyDescent="0.3">
      <c r="A19">
        <v>10018</v>
      </c>
      <c r="B19" s="1">
        <v>45690</v>
      </c>
      <c r="C19" t="s">
        <v>42</v>
      </c>
      <c r="D19" t="s">
        <v>11</v>
      </c>
      <c r="E19" t="s">
        <v>12</v>
      </c>
      <c r="F19" t="s">
        <v>36</v>
      </c>
      <c r="G19">
        <v>1</v>
      </c>
      <c r="H19">
        <v>162</v>
      </c>
      <c r="I19">
        <v>0.1</v>
      </c>
      <c r="J19">
        <v>63</v>
      </c>
    </row>
    <row r="20" spans="1:12" x14ac:dyDescent="0.3">
      <c r="A20">
        <v>10019</v>
      </c>
      <c r="B20" s="1">
        <v>46017</v>
      </c>
      <c r="C20" t="s">
        <v>43</v>
      </c>
      <c r="D20" t="s">
        <v>11</v>
      </c>
      <c r="E20" t="s">
        <v>12</v>
      </c>
      <c r="F20" t="s">
        <v>13</v>
      </c>
      <c r="G20">
        <v>5</v>
      </c>
      <c r="H20">
        <v>765</v>
      </c>
      <c r="I20">
        <v>0.15</v>
      </c>
      <c r="J20">
        <v>270</v>
      </c>
    </row>
    <row r="21" spans="1:12" x14ac:dyDescent="0.3">
      <c r="A21">
        <v>10020</v>
      </c>
      <c r="B21" s="1">
        <v>45788</v>
      </c>
      <c r="C21" t="s">
        <v>44</v>
      </c>
      <c r="D21" t="s">
        <v>26</v>
      </c>
      <c r="E21" t="s">
        <v>27</v>
      </c>
      <c r="F21" t="s">
        <v>13</v>
      </c>
      <c r="G21">
        <v>5</v>
      </c>
      <c r="H21">
        <v>16875</v>
      </c>
      <c r="I21">
        <v>0.25</v>
      </c>
      <c r="J21">
        <v>-1575</v>
      </c>
    </row>
    <row r="22" spans="1:12" x14ac:dyDescent="0.3">
      <c r="A22">
        <v>10021</v>
      </c>
      <c r="B22" s="1">
        <v>45672</v>
      </c>
      <c r="C22" t="s">
        <v>45</v>
      </c>
      <c r="D22" t="s">
        <v>34</v>
      </c>
      <c r="E22" t="s">
        <v>24</v>
      </c>
      <c r="F22" t="s">
        <v>21</v>
      </c>
      <c r="G22">
        <v>3</v>
      </c>
      <c r="H22">
        <v>5940</v>
      </c>
      <c r="I22">
        <v>0.1</v>
      </c>
      <c r="J22">
        <v>1650</v>
      </c>
    </row>
    <row r="23" spans="1:12" x14ac:dyDescent="0.3">
      <c r="A23">
        <v>10022</v>
      </c>
      <c r="B23" s="1">
        <v>45753</v>
      </c>
      <c r="C23" t="s">
        <v>28</v>
      </c>
      <c r="D23" t="s">
        <v>26</v>
      </c>
      <c r="E23" t="s">
        <v>27</v>
      </c>
      <c r="F23" t="s">
        <v>21</v>
      </c>
      <c r="G23">
        <v>1</v>
      </c>
      <c r="H23">
        <v>4275</v>
      </c>
      <c r="I23">
        <v>0.05</v>
      </c>
      <c r="J23">
        <v>585</v>
      </c>
    </row>
    <row r="24" spans="1:12" x14ac:dyDescent="0.3">
      <c r="A24">
        <v>10023</v>
      </c>
      <c r="B24" s="1">
        <v>45686</v>
      </c>
      <c r="C24" t="s">
        <v>46</v>
      </c>
      <c r="D24" t="s">
        <v>15</v>
      </c>
      <c r="E24" t="s">
        <v>16</v>
      </c>
      <c r="F24" t="s">
        <v>13</v>
      </c>
      <c r="G24">
        <v>5</v>
      </c>
      <c r="H24">
        <v>67500</v>
      </c>
      <c r="I24">
        <v>0.1</v>
      </c>
      <c r="J24">
        <v>13500</v>
      </c>
      <c r="L24">
        <f>COUNTA(_xlfn.UNIQUE(C:C))</f>
        <v>153</v>
      </c>
    </row>
    <row r="25" spans="1:12" x14ac:dyDescent="0.3">
      <c r="A25">
        <v>10024</v>
      </c>
      <c r="B25" s="1">
        <v>45941</v>
      </c>
      <c r="C25" t="s">
        <v>47</v>
      </c>
      <c r="D25" t="s">
        <v>11</v>
      </c>
      <c r="E25" t="s">
        <v>12</v>
      </c>
      <c r="F25" t="s">
        <v>21</v>
      </c>
      <c r="G25">
        <v>3</v>
      </c>
      <c r="H25">
        <v>459</v>
      </c>
      <c r="I25">
        <v>0.15</v>
      </c>
      <c r="J25">
        <v>162</v>
      </c>
    </row>
    <row r="26" spans="1:12" x14ac:dyDescent="0.3">
      <c r="A26">
        <v>10025</v>
      </c>
      <c r="B26" s="1">
        <v>45685</v>
      </c>
      <c r="C26" t="s">
        <v>48</v>
      </c>
      <c r="D26" t="s">
        <v>23</v>
      </c>
      <c r="E26" t="s">
        <v>24</v>
      </c>
      <c r="F26" t="s">
        <v>18</v>
      </c>
      <c r="G26">
        <v>5</v>
      </c>
      <c r="H26">
        <v>4800</v>
      </c>
      <c r="I26">
        <v>0.2</v>
      </c>
      <c r="J26">
        <v>900</v>
      </c>
    </row>
    <row r="27" spans="1:12" x14ac:dyDescent="0.3">
      <c r="A27">
        <v>10026</v>
      </c>
      <c r="B27" s="1">
        <v>46005</v>
      </c>
      <c r="C27" t="s">
        <v>49</v>
      </c>
      <c r="D27" t="s">
        <v>17</v>
      </c>
      <c r="E27" t="s">
        <v>16</v>
      </c>
      <c r="F27" t="s">
        <v>13</v>
      </c>
      <c r="G27">
        <v>3</v>
      </c>
      <c r="H27">
        <v>34200</v>
      </c>
      <c r="I27">
        <v>0.05</v>
      </c>
      <c r="J27">
        <v>8280</v>
      </c>
    </row>
    <row r="28" spans="1:12" x14ac:dyDescent="0.3">
      <c r="A28">
        <v>10027</v>
      </c>
      <c r="B28" s="1">
        <v>45916</v>
      </c>
      <c r="C28" t="s">
        <v>50</v>
      </c>
      <c r="D28" t="s">
        <v>23</v>
      </c>
      <c r="E28" t="s">
        <v>24</v>
      </c>
      <c r="F28" t="s">
        <v>21</v>
      </c>
      <c r="G28">
        <v>4</v>
      </c>
      <c r="H28">
        <v>4560</v>
      </c>
      <c r="I28">
        <v>0.05</v>
      </c>
      <c r="J28">
        <v>1440</v>
      </c>
    </row>
    <row r="29" spans="1:12" x14ac:dyDescent="0.3">
      <c r="A29">
        <v>10028</v>
      </c>
      <c r="B29" s="1">
        <v>45822</v>
      </c>
      <c r="C29" t="s">
        <v>51</v>
      </c>
      <c r="D29" t="s">
        <v>52</v>
      </c>
      <c r="E29" t="s">
        <v>24</v>
      </c>
      <c r="F29" t="s">
        <v>21</v>
      </c>
      <c r="G29">
        <v>3</v>
      </c>
      <c r="H29">
        <v>4860</v>
      </c>
      <c r="I29">
        <v>0.1</v>
      </c>
      <c r="J29">
        <v>1350</v>
      </c>
    </row>
    <row r="30" spans="1:12" x14ac:dyDescent="0.3">
      <c r="A30">
        <v>10029</v>
      </c>
      <c r="B30" s="1">
        <v>45753</v>
      </c>
      <c r="C30" t="s">
        <v>53</v>
      </c>
      <c r="D30" t="s">
        <v>52</v>
      </c>
      <c r="E30" t="s">
        <v>24</v>
      </c>
      <c r="F30" t="s">
        <v>21</v>
      </c>
      <c r="G30">
        <v>3</v>
      </c>
      <c r="H30">
        <v>5130</v>
      </c>
      <c r="I30">
        <v>0.05</v>
      </c>
      <c r="J30">
        <v>1620</v>
      </c>
    </row>
    <row r="31" spans="1:12" x14ac:dyDescent="0.3">
      <c r="A31">
        <v>10030</v>
      </c>
      <c r="B31" s="1">
        <v>45952</v>
      </c>
      <c r="C31" t="s">
        <v>29</v>
      </c>
      <c r="D31" t="s">
        <v>41</v>
      </c>
      <c r="E31" t="s">
        <v>27</v>
      </c>
      <c r="F31" t="s">
        <v>36</v>
      </c>
      <c r="G31">
        <v>2</v>
      </c>
      <c r="H31">
        <v>82500</v>
      </c>
      <c r="I31">
        <v>0.25</v>
      </c>
      <c r="J31">
        <v>-7700</v>
      </c>
    </row>
    <row r="32" spans="1:12" x14ac:dyDescent="0.3">
      <c r="A32">
        <v>10031</v>
      </c>
      <c r="B32" s="1">
        <v>45738</v>
      </c>
      <c r="C32" t="s">
        <v>53</v>
      </c>
      <c r="D32" t="s">
        <v>41</v>
      </c>
      <c r="E32" t="s">
        <v>27</v>
      </c>
      <c r="F32" t="s">
        <v>21</v>
      </c>
      <c r="G32">
        <v>5</v>
      </c>
      <c r="H32">
        <v>261250</v>
      </c>
      <c r="I32">
        <v>0.05</v>
      </c>
      <c r="J32">
        <v>35750</v>
      </c>
    </row>
    <row r="33" spans="1:10" x14ac:dyDescent="0.3">
      <c r="A33">
        <v>10032</v>
      </c>
      <c r="B33" s="1">
        <v>45881</v>
      </c>
      <c r="C33" t="s">
        <v>49</v>
      </c>
      <c r="D33" t="s">
        <v>30</v>
      </c>
      <c r="E33" t="s">
        <v>27</v>
      </c>
      <c r="F33" t="s">
        <v>36</v>
      </c>
      <c r="G33">
        <v>4</v>
      </c>
      <c r="H33">
        <v>120000</v>
      </c>
      <c r="I33">
        <v>0</v>
      </c>
      <c r="J33">
        <v>21600</v>
      </c>
    </row>
    <row r="34" spans="1:10" x14ac:dyDescent="0.3">
      <c r="A34">
        <v>10033</v>
      </c>
      <c r="B34" s="1">
        <v>45817</v>
      </c>
      <c r="C34" t="s">
        <v>54</v>
      </c>
      <c r="D34" t="s">
        <v>30</v>
      </c>
      <c r="E34" t="s">
        <v>27</v>
      </c>
      <c r="F34" t="s">
        <v>36</v>
      </c>
      <c r="G34">
        <v>5</v>
      </c>
      <c r="H34">
        <v>135000</v>
      </c>
      <c r="I34">
        <v>0.1</v>
      </c>
      <c r="J34">
        <v>12000</v>
      </c>
    </row>
    <row r="35" spans="1:10" x14ac:dyDescent="0.3">
      <c r="A35">
        <v>10034</v>
      </c>
      <c r="B35" s="1">
        <v>45951</v>
      </c>
      <c r="C35" t="s">
        <v>55</v>
      </c>
      <c r="D35" t="s">
        <v>52</v>
      </c>
      <c r="E35" t="s">
        <v>24</v>
      </c>
      <c r="F35" t="s">
        <v>13</v>
      </c>
      <c r="G35">
        <v>3</v>
      </c>
      <c r="H35">
        <v>5130</v>
      </c>
      <c r="I35">
        <v>0.05</v>
      </c>
      <c r="J35">
        <v>1620</v>
      </c>
    </row>
    <row r="36" spans="1:10" x14ac:dyDescent="0.3">
      <c r="A36">
        <v>10035</v>
      </c>
      <c r="B36" s="1">
        <v>45897</v>
      </c>
      <c r="C36" t="s">
        <v>56</v>
      </c>
      <c r="D36" t="s">
        <v>17</v>
      </c>
      <c r="E36" t="s">
        <v>16</v>
      </c>
      <c r="F36" t="s">
        <v>13</v>
      </c>
      <c r="G36">
        <v>2</v>
      </c>
      <c r="H36">
        <v>21600</v>
      </c>
      <c r="I36">
        <v>0.1</v>
      </c>
      <c r="J36">
        <v>4320</v>
      </c>
    </row>
    <row r="37" spans="1:10" x14ac:dyDescent="0.3">
      <c r="A37">
        <v>10036</v>
      </c>
      <c r="B37" s="1">
        <v>46006</v>
      </c>
      <c r="C37" t="s">
        <v>57</v>
      </c>
      <c r="D37" t="s">
        <v>23</v>
      </c>
      <c r="E37" t="s">
        <v>24</v>
      </c>
      <c r="F37" t="s">
        <v>18</v>
      </c>
      <c r="G37">
        <v>4</v>
      </c>
      <c r="H37">
        <v>4320</v>
      </c>
      <c r="I37">
        <v>0.1</v>
      </c>
      <c r="J37">
        <v>1200</v>
      </c>
    </row>
    <row r="38" spans="1:10" x14ac:dyDescent="0.3">
      <c r="A38">
        <v>10037</v>
      </c>
      <c r="B38" s="1">
        <v>45804</v>
      </c>
      <c r="C38" t="s">
        <v>58</v>
      </c>
      <c r="D38" t="s">
        <v>17</v>
      </c>
      <c r="E38" t="s">
        <v>16</v>
      </c>
      <c r="F38" t="s">
        <v>18</v>
      </c>
      <c r="G38">
        <v>3</v>
      </c>
      <c r="H38">
        <v>30600</v>
      </c>
      <c r="I38">
        <v>0.15</v>
      </c>
      <c r="J38">
        <v>4680</v>
      </c>
    </row>
    <row r="39" spans="1:10" x14ac:dyDescent="0.3">
      <c r="A39">
        <v>10038</v>
      </c>
      <c r="B39" s="1">
        <v>45785</v>
      </c>
      <c r="C39" t="s">
        <v>59</v>
      </c>
      <c r="D39" t="s">
        <v>11</v>
      </c>
      <c r="E39" t="s">
        <v>12</v>
      </c>
      <c r="F39" t="s">
        <v>21</v>
      </c>
      <c r="G39">
        <v>4</v>
      </c>
      <c r="H39">
        <v>540</v>
      </c>
      <c r="I39">
        <v>0.25</v>
      </c>
      <c r="J39">
        <v>144</v>
      </c>
    </row>
    <row r="40" spans="1:10" x14ac:dyDescent="0.3">
      <c r="A40">
        <v>10039</v>
      </c>
      <c r="B40" s="1">
        <v>45808</v>
      </c>
      <c r="C40" t="s">
        <v>60</v>
      </c>
      <c r="D40" t="s">
        <v>52</v>
      </c>
      <c r="E40" t="s">
        <v>24</v>
      </c>
      <c r="F40" t="s">
        <v>36</v>
      </c>
      <c r="G40">
        <v>1</v>
      </c>
      <c r="H40">
        <v>1530</v>
      </c>
      <c r="I40">
        <v>0.15</v>
      </c>
      <c r="J40">
        <v>360</v>
      </c>
    </row>
    <row r="41" spans="1:10" x14ac:dyDescent="0.3">
      <c r="A41">
        <v>10040</v>
      </c>
      <c r="B41" s="1">
        <v>45769</v>
      </c>
      <c r="C41" t="s">
        <v>61</v>
      </c>
      <c r="D41" t="s">
        <v>11</v>
      </c>
      <c r="E41" t="s">
        <v>12</v>
      </c>
      <c r="F41" t="s">
        <v>13</v>
      </c>
      <c r="G41">
        <v>4</v>
      </c>
      <c r="H41">
        <v>720</v>
      </c>
      <c r="I41">
        <v>0</v>
      </c>
      <c r="J41">
        <v>324</v>
      </c>
    </row>
    <row r="42" spans="1:10" x14ac:dyDescent="0.3">
      <c r="A42">
        <v>10041</v>
      </c>
      <c r="B42" s="1">
        <v>45797</v>
      </c>
      <c r="C42" t="s">
        <v>62</v>
      </c>
      <c r="D42" t="s">
        <v>30</v>
      </c>
      <c r="E42" t="s">
        <v>27</v>
      </c>
      <c r="F42" t="s">
        <v>18</v>
      </c>
      <c r="G42">
        <v>1</v>
      </c>
      <c r="H42">
        <v>30000</v>
      </c>
      <c r="I42">
        <v>0</v>
      </c>
      <c r="J42">
        <v>5400</v>
      </c>
    </row>
    <row r="43" spans="1:10" x14ac:dyDescent="0.3">
      <c r="A43">
        <v>10042</v>
      </c>
      <c r="B43" s="1">
        <v>45804</v>
      </c>
      <c r="C43" t="s">
        <v>42</v>
      </c>
      <c r="D43" t="s">
        <v>11</v>
      </c>
      <c r="E43" t="s">
        <v>12</v>
      </c>
      <c r="F43" t="s">
        <v>18</v>
      </c>
      <c r="G43">
        <v>1</v>
      </c>
      <c r="H43">
        <v>171</v>
      </c>
      <c r="I43">
        <v>0.05</v>
      </c>
      <c r="J43">
        <v>72</v>
      </c>
    </row>
    <row r="44" spans="1:10" x14ac:dyDescent="0.3">
      <c r="A44">
        <v>10043</v>
      </c>
      <c r="B44" s="1">
        <v>45777</v>
      </c>
      <c r="C44" t="s">
        <v>63</v>
      </c>
      <c r="D44" t="s">
        <v>26</v>
      </c>
      <c r="E44" t="s">
        <v>27</v>
      </c>
      <c r="F44" t="s">
        <v>36</v>
      </c>
      <c r="G44">
        <v>4</v>
      </c>
      <c r="H44">
        <v>14400</v>
      </c>
      <c r="I44">
        <v>0.2</v>
      </c>
      <c r="J44">
        <v>-360</v>
      </c>
    </row>
    <row r="45" spans="1:10" x14ac:dyDescent="0.3">
      <c r="A45">
        <v>10044</v>
      </c>
      <c r="B45" s="1">
        <v>45997</v>
      </c>
      <c r="C45" t="s">
        <v>64</v>
      </c>
      <c r="D45" t="s">
        <v>41</v>
      </c>
      <c r="E45" t="s">
        <v>27</v>
      </c>
      <c r="F45" t="s">
        <v>21</v>
      </c>
      <c r="G45">
        <v>4</v>
      </c>
      <c r="H45">
        <v>176000</v>
      </c>
      <c r="I45">
        <v>0.2</v>
      </c>
      <c r="J45">
        <v>-4400</v>
      </c>
    </row>
    <row r="46" spans="1:10" x14ac:dyDescent="0.3">
      <c r="A46">
        <v>10045</v>
      </c>
      <c r="B46" s="1">
        <v>45995</v>
      </c>
      <c r="C46" t="s">
        <v>65</v>
      </c>
      <c r="D46" t="s">
        <v>23</v>
      </c>
      <c r="E46" t="s">
        <v>24</v>
      </c>
      <c r="F46" t="s">
        <v>36</v>
      </c>
      <c r="G46">
        <v>3</v>
      </c>
      <c r="H46">
        <v>2700</v>
      </c>
      <c r="I46">
        <v>0.25</v>
      </c>
      <c r="J46">
        <v>360</v>
      </c>
    </row>
    <row r="47" spans="1:10" x14ac:dyDescent="0.3">
      <c r="A47">
        <v>10046</v>
      </c>
      <c r="B47" s="1">
        <v>45946</v>
      </c>
      <c r="C47" t="s">
        <v>66</v>
      </c>
      <c r="D47" t="s">
        <v>23</v>
      </c>
      <c r="E47" t="s">
        <v>24</v>
      </c>
      <c r="F47" t="s">
        <v>13</v>
      </c>
      <c r="G47">
        <v>4</v>
      </c>
      <c r="H47">
        <v>4080</v>
      </c>
      <c r="I47">
        <v>0.15</v>
      </c>
      <c r="J47">
        <v>960</v>
      </c>
    </row>
    <row r="48" spans="1:10" x14ac:dyDescent="0.3">
      <c r="A48">
        <v>10047</v>
      </c>
      <c r="B48" s="1">
        <v>45690</v>
      </c>
      <c r="C48" t="s">
        <v>67</v>
      </c>
      <c r="D48" t="s">
        <v>17</v>
      </c>
      <c r="E48" t="s">
        <v>16</v>
      </c>
      <c r="F48" t="s">
        <v>21</v>
      </c>
      <c r="G48">
        <v>3</v>
      </c>
      <c r="H48">
        <v>30600</v>
      </c>
      <c r="I48">
        <v>0.15</v>
      </c>
      <c r="J48">
        <v>4680</v>
      </c>
    </row>
    <row r="49" spans="1:10" x14ac:dyDescent="0.3">
      <c r="A49">
        <v>10048</v>
      </c>
      <c r="B49" s="1">
        <v>45921</v>
      </c>
      <c r="C49" t="s">
        <v>68</v>
      </c>
      <c r="D49" t="s">
        <v>11</v>
      </c>
      <c r="E49" t="s">
        <v>12</v>
      </c>
      <c r="F49" t="s">
        <v>36</v>
      </c>
      <c r="G49">
        <v>5</v>
      </c>
      <c r="H49">
        <v>810</v>
      </c>
      <c r="I49">
        <v>0.1</v>
      </c>
      <c r="J49">
        <v>315</v>
      </c>
    </row>
    <row r="50" spans="1:10" x14ac:dyDescent="0.3">
      <c r="A50">
        <v>10049</v>
      </c>
      <c r="B50" s="1">
        <v>45941</v>
      </c>
      <c r="C50" t="s">
        <v>69</v>
      </c>
      <c r="D50" t="s">
        <v>30</v>
      </c>
      <c r="E50" t="s">
        <v>27</v>
      </c>
      <c r="F50" t="s">
        <v>18</v>
      </c>
      <c r="G50">
        <v>5</v>
      </c>
      <c r="H50">
        <v>135000</v>
      </c>
      <c r="I50">
        <v>0.1</v>
      </c>
      <c r="J50">
        <v>12000</v>
      </c>
    </row>
    <row r="51" spans="1:10" x14ac:dyDescent="0.3">
      <c r="A51">
        <v>10050</v>
      </c>
      <c r="B51" s="1">
        <v>45961</v>
      </c>
      <c r="C51" t="s">
        <v>70</v>
      </c>
      <c r="D51" t="s">
        <v>41</v>
      </c>
      <c r="E51" t="s">
        <v>27</v>
      </c>
      <c r="F51" t="s">
        <v>18</v>
      </c>
      <c r="G51">
        <v>5</v>
      </c>
      <c r="H51">
        <v>261250</v>
      </c>
      <c r="I51">
        <v>0.05</v>
      </c>
      <c r="J51">
        <v>35750</v>
      </c>
    </row>
    <row r="52" spans="1:10" x14ac:dyDescent="0.3">
      <c r="A52">
        <v>10051</v>
      </c>
      <c r="B52" s="1">
        <v>45829</v>
      </c>
      <c r="C52" t="s">
        <v>71</v>
      </c>
      <c r="D52" t="s">
        <v>26</v>
      </c>
      <c r="E52" t="s">
        <v>27</v>
      </c>
      <c r="F52" t="s">
        <v>13</v>
      </c>
      <c r="G52">
        <v>1</v>
      </c>
      <c r="H52">
        <v>4500</v>
      </c>
      <c r="I52">
        <v>0</v>
      </c>
      <c r="J52">
        <v>810</v>
      </c>
    </row>
    <row r="53" spans="1:10" x14ac:dyDescent="0.3">
      <c r="A53">
        <v>10052</v>
      </c>
      <c r="B53" s="1">
        <v>45694</v>
      </c>
      <c r="C53" t="s">
        <v>55</v>
      </c>
      <c r="D53" t="s">
        <v>20</v>
      </c>
      <c r="E53" t="s">
        <v>12</v>
      </c>
      <c r="F53" t="s">
        <v>13</v>
      </c>
      <c r="G53">
        <v>3</v>
      </c>
      <c r="H53">
        <v>637.5</v>
      </c>
      <c r="I53">
        <v>0.15</v>
      </c>
      <c r="J53">
        <v>225</v>
      </c>
    </row>
    <row r="54" spans="1:10" x14ac:dyDescent="0.3">
      <c r="A54">
        <v>10053</v>
      </c>
      <c r="B54" s="1">
        <v>45845</v>
      </c>
      <c r="C54" t="s">
        <v>63</v>
      </c>
      <c r="D54" t="s">
        <v>41</v>
      </c>
      <c r="E54" t="s">
        <v>27</v>
      </c>
      <c r="F54" t="s">
        <v>36</v>
      </c>
      <c r="G54">
        <v>5</v>
      </c>
      <c r="H54">
        <v>247500</v>
      </c>
      <c r="I54">
        <v>0.1</v>
      </c>
      <c r="J54">
        <v>22000</v>
      </c>
    </row>
    <row r="55" spans="1:10" x14ac:dyDescent="0.3">
      <c r="A55">
        <v>10054</v>
      </c>
      <c r="B55" s="1">
        <v>45785</v>
      </c>
      <c r="C55" t="s">
        <v>72</v>
      </c>
      <c r="D55" t="s">
        <v>15</v>
      </c>
      <c r="E55" t="s">
        <v>16</v>
      </c>
      <c r="F55" t="s">
        <v>13</v>
      </c>
      <c r="G55">
        <v>1</v>
      </c>
      <c r="H55">
        <v>14250</v>
      </c>
      <c r="I55">
        <v>0.05</v>
      </c>
      <c r="J55">
        <v>3450</v>
      </c>
    </row>
    <row r="56" spans="1:10" x14ac:dyDescent="0.3">
      <c r="A56">
        <v>10055</v>
      </c>
      <c r="B56" s="1">
        <v>45831</v>
      </c>
      <c r="C56" t="s">
        <v>55</v>
      </c>
      <c r="D56" t="s">
        <v>34</v>
      </c>
      <c r="E56" t="s">
        <v>24</v>
      </c>
      <c r="F56" t="s">
        <v>21</v>
      </c>
      <c r="G56">
        <v>2</v>
      </c>
      <c r="H56">
        <v>3300</v>
      </c>
      <c r="I56">
        <v>0.25</v>
      </c>
      <c r="J56">
        <v>440</v>
      </c>
    </row>
    <row r="57" spans="1:10" x14ac:dyDescent="0.3">
      <c r="A57">
        <v>10056</v>
      </c>
      <c r="B57" s="1">
        <v>45930</v>
      </c>
      <c r="C57" t="s">
        <v>73</v>
      </c>
      <c r="D57" t="s">
        <v>20</v>
      </c>
      <c r="E57" t="s">
        <v>12</v>
      </c>
      <c r="F57" t="s">
        <v>13</v>
      </c>
      <c r="G57">
        <v>2</v>
      </c>
      <c r="H57">
        <v>475</v>
      </c>
      <c r="I57">
        <v>0.05</v>
      </c>
      <c r="J57">
        <v>200</v>
      </c>
    </row>
    <row r="58" spans="1:10" x14ac:dyDescent="0.3">
      <c r="A58">
        <v>10057</v>
      </c>
      <c r="B58" s="1">
        <v>45696</v>
      </c>
      <c r="C58" t="s">
        <v>74</v>
      </c>
      <c r="D58" t="s">
        <v>23</v>
      </c>
      <c r="E58" t="s">
        <v>24</v>
      </c>
      <c r="F58" t="s">
        <v>36</v>
      </c>
      <c r="G58">
        <v>3</v>
      </c>
      <c r="H58">
        <v>3060</v>
      </c>
      <c r="I58">
        <v>0.15</v>
      </c>
      <c r="J58">
        <v>720</v>
      </c>
    </row>
    <row r="59" spans="1:10" x14ac:dyDescent="0.3">
      <c r="A59">
        <v>10058</v>
      </c>
      <c r="B59" s="1">
        <v>45973</v>
      </c>
      <c r="C59" t="s">
        <v>75</v>
      </c>
      <c r="D59" t="s">
        <v>30</v>
      </c>
      <c r="E59" t="s">
        <v>27</v>
      </c>
      <c r="F59" t="s">
        <v>13</v>
      </c>
      <c r="G59">
        <v>1</v>
      </c>
      <c r="H59">
        <v>27000</v>
      </c>
      <c r="I59">
        <v>0.1</v>
      </c>
      <c r="J59">
        <v>2400</v>
      </c>
    </row>
    <row r="60" spans="1:10" x14ac:dyDescent="0.3">
      <c r="A60">
        <v>10059</v>
      </c>
      <c r="B60" s="1">
        <v>45921</v>
      </c>
      <c r="C60" t="s">
        <v>56</v>
      </c>
      <c r="D60" t="s">
        <v>17</v>
      </c>
      <c r="E60" t="s">
        <v>16</v>
      </c>
      <c r="F60" t="s">
        <v>21</v>
      </c>
      <c r="G60">
        <v>5</v>
      </c>
      <c r="H60">
        <v>57000</v>
      </c>
      <c r="I60">
        <v>0.05</v>
      </c>
      <c r="J60">
        <v>13800</v>
      </c>
    </row>
    <row r="61" spans="1:10" x14ac:dyDescent="0.3">
      <c r="A61">
        <v>10060</v>
      </c>
      <c r="B61" s="1">
        <v>45945</v>
      </c>
      <c r="C61" t="s">
        <v>76</v>
      </c>
      <c r="D61" t="s">
        <v>26</v>
      </c>
      <c r="E61" t="s">
        <v>27</v>
      </c>
      <c r="F61" t="s">
        <v>36</v>
      </c>
      <c r="G61">
        <v>4</v>
      </c>
      <c r="H61">
        <v>16200</v>
      </c>
      <c r="I61">
        <v>0.1</v>
      </c>
      <c r="J61">
        <v>1440</v>
      </c>
    </row>
    <row r="62" spans="1:10" x14ac:dyDescent="0.3">
      <c r="A62">
        <v>10061</v>
      </c>
      <c r="B62" s="1">
        <v>45782</v>
      </c>
      <c r="C62" t="s">
        <v>77</v>
      </c>
      <c r="D62" t="s">
        <v>23</v>
      </c>
      <c r="E62" t="s">
        <v>24</v>
      </c>
      <c r="F62" t="s">
        <v>21</v>
      </c>
      <c r="G62">
        <v>2</v>
      </c>
      <c r="H62">
        <v>2160</v>
      </c>
      <c r="I62">
        <v>0.1</v>
      </c>
      <c r="J62">
        <v>600</v>
      </c>
    </row>
    <row r="63" spans="1:10" x14ac:dyDescent="0.3">
      <c r="A63">
        <v>10062</v>
      </c>
      <c r="B63" s="1">
        <v>45983</v>
      </c>
      <c r="C63" t="s">
        <v>22</v>
      </c>
      <c r="D63" t="s">
        <v>34</v>
      </c>
      <c r="E63" t="s">
        <v>24</v>
      </c>
      <c r="F63" t="s">
        <v>21</v>
      </c>
      <c r="G63">
        <v>1</v>
      </c>
      <c r="H63">
        <v>2200</v>
      </c>
      <c r="I63">
        <v>0</v>
      </c>
      <c r="J63">
        <v>770</v>
      </c>
    </row>
    <row r="64" spans="1:10" x14ac:dyDescent="0.3">
      <c r="A64">
        <v>10063</v>
      </c>
      <c r="B64" s="1">
        <v>45717</v>
      </c>
      <c r="C64" t="s">
        <v>48</v>
      </c>
      <c r="D64" t="s">
        <v>15</v>
      </c>
      <c r="E64" t="s">
        <v>16</v>
      </c>
      <c r="F64" t="s">
        <v>13</v>
      </c>
      <c r="G64">
        <v>1</v>
      </c>
      <c r="H64">
        <v>12750</v>
      </c>
      <c r="I64">
        <v>0.15</v>
      </c>
      <c r="J64">
        <v>1950</v>
      </c>
    </row>
    <row r="65" spans="1:10" x14ac:dyDescent="0.3">
      <c r="A65">
        <v>10064</v>
      </c>
      <c r="B65" s="1">
        <v>46007</v>
      </c>
      <c r="C65" t="s">
        <v>78</v>
      </c>
      <c r="D65" t="s">
        <v>11</v>
      </c>
      <c r="E65" t="s">
        <v>12</v>
      </c>
      <c r="F65" t="s">
        <v>36</v>
      </c>
      <c r="G65">
        <v>4</v>
      </c>
      <c r="H65">
        <v>576</v>
      </c>
      <c r="I65">
        <v>0.2</v>
      </c>
      <c r="J65">
        <v>180</v>
      </c>
    </row>
    <row r="66" spans="1:10" x14ac:dyDescent="0.3">
      <c r="A66">
        <v>10065</v>
      </c>
      <c r="B66" s="1">
        <v>45781</v>
      </c>
      <c r="C66" t="s">
        <v>32</v>
      </c>
      <c r="D66" t="s">
        <v>11</v>
      </c>
      <c r="E66" t="s">
        <v>12</v>
      </c>
      <c r="F66" t="s">
        <v>21</v>
      </c>
      <c r="G66">
        <v>4</v>
      </c>
      <c r="H66">
        <v>720</v>
      </c>
      <c r="I66">
        <v>0</v>
      </c>
      <c r="J66">
        <v>324</v>
      </c>
    </row>
    <row r="67" spans="1:10" x14ac:dyDescent="0.3">
      <c r="A67">
        <v>10066</v>
      </c>
      <c r="B67" s="1">
        <v>45932</v>
      </c>
      <c r="C67" t="s">
        <v>79</v>
      </c>
      <c r="D67" t="s">
        <v>26</v>
      </c>
      <c r="E67" t="s">
        <v>27</v>
      </c>
      <c r="F67" t="s">
        <v>21</v>
      </c>
      <c r="G67">
        <v>1</v>
      </c>
      <c r="H67">
        <v>4275</v>
      </c>
      <c r="I67">
        <v>0.05</v>
      </c>
      <c r="J67">
        <v>585</v>
      </c>
    </row>
    <row r="68" spans="1:10" x14ac:dyDescent="0.3">
      <c r="A68">
        <v>10067</v>
      </c>
      <c r="B68" s="1">
        <v>45774</v>
      </c>
      <c r="C68" t="s">
        <v>80</v>
      </c>
      <c r="D68" t="s">
        <v>11</v>
      </c>
      <c r="E68" t="s">
        <v>12</v>
      </c>
      <c r="F68" t="s">
        <v>36</v>
      </c>
      <c r="G68">
        <v>2</v>
      </c>
      <c r="H68">
        <v>360</v>
      </c>
      <c r="I68">
        <v>0</v>
      </c>
      <c r="J68">
        <v>162</v>
      </c>
    </row>
    <row r="69" spans="1:10" x14ac:dyDescent="0.3">
      <c r="A69">
        <v>10068</v>
      </c>
      <c r="B69" s="1">
        <v>45715</v>
      </c>
      <c r="C69" t="s">
        <v>81</v>
      </c>
      <c r="D69" t="s">
        <v>23</v>
      </c>
      <c r="E69" t="s">
        <v>24</v>
      </c>
      <c r="F69" t="s">
        <v>13</v>
      </c>
      <c r="G69">
        <v>4</v>
      </c>
      <c r="H69">
        <v>4320</v>
      </c>
      <c r="I69">
        <v>0.1</v>
      </c>
      <c r="J69">
        <v>1200</v>
      </c>
    </row>
    <row r="70" spans="1:10" x14ac:dyDescent="0.3">
      <c r="A70">
        <v>10069</v>
      </c>
      <c r="B70" s="1">
        <v>45929</v>
      </c>
      <c r="C70" t="s">
        <v>82</v>
      </c>
      <c r="D70" t="s">
        <v>30</v>
      </c>
      <c r="E70" t="s">
        <v>27</v>
      </c>
      <c r="F70" t="s">
        <v>21</v>
      </c>
      <c r="G70">
        <v>1</v>
      </c>
      <c r="H70">
        <v>25500</v>
      </c>
      <c r="I70">
        <v>0.15</v>
      </c>
      <c r="J70">
        <v>900</v>
      </c>
    </row>
    <row r="71" spans="1:10" x14ac:dyDescent="0.3">
      <c r="A71">
        <v>10070</v>
      </c>
      <c r="B71" s="1">
        <v>45801</v>
      </c>
      <c r="C71" t="s">
        <v>76</v>
      </c>
      <c r="D71" t="s">
        <v>11</v>
      </c>
      <c r="E71" t="s">
        <v>12</v>
      </c>
      <c r="F71" t="s">
        <v>13</v>
      </c>
      <c r="G71">
        <v>3</v>
      </c>
      <c r="H71">
        <v>513</v>
      </c>
      <c r="I71">
        <v>0.05</v>
      </c>
      <c r="J71">
        <v>216</v>
      </c>
    </row>
    <row r="72" spans="1:10" x14ac:dyDescent="0.3">
      <c r="A72">
        <v>10071</v>
      </c>
      <c r="B72" s="1">
        <v>45861</v>
      </c>
      <c r="C72" t="s">
        <v>56</v>
      </c>
      <c r="D72" t="s">
        <v>15</v>
      </c>
      <c r="E72" t="s">
        <v>16</v>
      </c>
      <c r="F72" t="s">
        <v>21</v>
      </c>
      <c r="G72">
        <v>1</v>
      </c>
      <c r="H72">
        <v>14250</v>
      </c>
      <c r="I72">
        <v>0.05</v>
      </c>
      <c r="J72">
        <v>3450</v>
      </c>
    </row>
    <row r="73" spans="1:10" x14ac:dyDescent="0.3">
      <c r="A73">
        <v>10072</v>
      </c>
      <c r="B73" s="1">
        <v>45946</v>
      </c>
      <c r="C73" t="s">
        <v>83</v>
      </c>
      <c r="D73" t="s">
        <v>34</v>
      </c>
      <c r="E73" t="s">
        <v>24</v>
      </c>
      <c r="F73" t="s">
        <v>36</v>
      </c>
      <c r="G73">
        <v>5</v>
      </c>
      <c r="H73">
        <v>9900</v>
      </c>
      <c r="I73">
        <v>0.1</v>
      </c>
      <c r="J73">
        <v>2750</v>
      </c>
    </row>
    <row r="74" spans="1:10" x14ac:dyDescent="0.3">
      <c r="A74">
        <v>10073</v>
      </c>
      <c r="B74" s="1">
        <v>45757</v>
      </c>
      <c r="C74" t="s">
        <v>84</v>
      </c>
      <c r="D74" t="s">
        <v>34</v>
      </c>
      <c r="E74" t="s">
        <v>24</v>
      </c>
      <c r="F74" t="s">
        <v>18</v>
      </c>
      <c r="G74">
        <v>2</v>
      </c>
      <c r="H74">
        <v>3300</v>
      </c>
      <c r="I74">
        <v>0.25</v>
      </c>
      <c r="J74">
        <v>440</v>
      </c>
    </row>
    <row r="75" spans="1:10" x14ac:dyDescent="0.3">
      <c r="A75">
        <v>10074</v>
      </c>
      <c r="B75" s="1">
        <v>45753</v>
      </c>
      <c r="C75" t="s">
        <v>44</v>
      </c>
      <c r="D75" t="s">
        <v>34</v>
      </c>
      <c r="E75" t="s">
        <v>24</v>
      </c>
      <c r="F75" t="s">
        <v>85</v>
      </c>
      <c r="G75">
        <v>2</v>
      </c>
      <c r="H75">
        <v>3300</v>
      </c>
      <c r="I75">
        <v>0.25</v>
      </c>
      <c r="J75">
        <v>440</v>
      </c>
    </row>
    <row r="76" spans="1:10" x14ac:dyDescent="0.3">
      <c r="A76">
        <v>10075</v>
      </c>
      <c r="B76" s="1">
        <v>45937</v>
      </c>
      <c r="C76" t="s">
        <v>86</v>
      </c>
      <c r="D76" t="s">
        <v>15</v>
      </c>
      <c r="E76" t="s">
        <v>16</v>
      </c>
      <c r="F76" t="s">
        <v>36</v>
      </c>
      <c r="G76">
        <v>5</v>
      </c>
      <c r="H76">
        <v>75000</v>
      </c>
      <c r="I76">
        <v>0</v>
      </c>
      <c r="J76">
        <v>21000</v>
      </c>
    </row>
    <row r="77" spans="1:10" x14ac:dyDescent="0.3">
      <c r="A77">
        <v>10076</v>
      </c>
      <c r="B77" s="1">
        <v>45817</v>
      </c>
      <c r="C77" t="s">
        <v>87</v>
      </c>
      <c r="D77" t="s">
        <v>30</v>
      </c>
      <c r="E77" t="s">
        <v>27</v>
      </c>
      <c r="F77" t="s">
        <v>18</v>
      </c>
      <c r="G77">
        <v>1</v>
      </c>
      <c r="H77">
        <v>24000</v>
      </c>
      <c r="I77">
        <v>0.2</v>
      </c>
      <c r="J77">
        <v>-600</v>
      </c>
    </row>
    <row r="78" spans="1:10" x14ac:dyDescent="0.3">
      <c r="A78">
        <v>10077</v>
      </c>
      <c r="B78" s="1">
        <v>45836</v>
      </c>
      <c r="C78" t="s">
        <v>83</v>
      </c>
      <c r="D78" t="s">
        <v>30</v>
      </c>
      <c r="E78" t="s">
        <v>27</v>
      </c>
      <c r="F78" t="s">
        <v>18</v>
      </c>
      <c r="G78">
        <v>3</v>
      </c>
      <c r="H78">
        <v>81000</v>
      </c>
      <c r="I78">
        <v>0.1</v>
      </c>
      <c r="J78">
        <v>7200</v>
      </c>
    </row>
    <row r="79" spans="1:10" x14ac:dyDescent="0.3">
      <c r="A79">
        <v>10078</v>
      </c>
      <c r="B79" s="1">
        <v>45987</v>
      </c>
      <c r="C79" t="s">
        <v>88</v>
      </c>
      <c r="D79" t="s">
        <v>26</v>
      </c>
      <c r="E79" t="s">
        <v>27</v>
      </c>
      <c r="F79" t="s">
        <v>18</v>
      </c>
      <c r="G79">
        <v>1</v>
      </c>
      <c r="H79">
        <v>3375</v>
      </c>
      <c r="I79">
        <v>0.25</v>
      </c>
      <c r="J79">
        <v>-315</v>
      </c>
    </row>
    <row r="80" spans="1:10" x14ac:dyDescent="0.3">
      <c r="A80">
        <v>10079</v>
      </c>
      <c r="B80" s="1">
        <v>45692</v>
      </c>
      <c r="C80" t="s">
        <v>31</v>
      </c>
      <c r="D80" t="s">
        <v>30</v>
      </c>
      <c r="E80" t="s">
        <v>27</v>
      </c>
      <c r="F80" t="s">
        <v>21</v>
      </c>
      <c r="G80">
        <v>5</v>
      </c>
      <c r="H80">
        <v>150000</v>
      </c>
      <c r="I80">
        <v>0</v>
      </c>
      <c r="J80">
        <v>27000</v>
      </c>
    </row>
    <row r="81" spans="1:10" x14ac:dyDescent="0.3">
      <c r="A81">
        <v>10080</v>
      </c>
      <c r="B81" s="1">
        <v>45747</v>
      </c>
      <c r="C81" t="s">
        <v>67</v>
      </c>
      <c r="D81" t="s">
        <v>52</v>
      </c>
      <c r="E81" t="s">
        <v>24</v>
      </c>
      <c r="F81" t="s">
        <v>13</v>
      </c>
      <c r="G81">
        <v>5</v>
      </c>
      <c r="H81">
        <v>7200</v>
      </c>
      <c r="I81">
        <v>0.2</v>
      </c>
      <c r="J81">
        <v>1350</v>
      </c>
    </row>
    <row r="82" spans="1:10" x14ac:dyDescent="0.3">
      <c r="A82">
        <v>10081</v>
      </c>
      <c r="B82" s="1">
        <v>45771</v>
      </c>
      <c r="C82" t="s">
        <v>89</v>
      </c>
      <c r="D82" t="s">
        <v>11</v>
      </c>
      <c r="E82" t="s">
        <v>12</v>
      </c>
      <c r="F82" t="s">
        <v>13</v>
      </c>
      <c r="G82">
        <v>4</v>
      </c>
      <c r="H82">
        <v>612</v>
      </c>
      <c r="I82">
        <v>0.15</v>
      </c>
      <c r="J82">
        <v>216</v>
      </c>
    </row>
    <row r="83" spans="1:10" x14ac:dyDescent="0.3">
      <c r="A83">
        <v>10082</v>
      </c>
      <c r="B83" s="1">
        <v>45906</v>
      </c>
      <c r="C83" t="s">
        <v>90</v>
      </c>
      <c r="D83" t="s">
        <v>52</v>
      </c>
      <c r="E83" t="s">
        <v>24</v>
      </c>
      <c r="F83" t="s">
        <v>13</v>
      </c>
      <c r="G83">
        <v>4</v>
      </c>
      <c r="H83">
        <v>6480</v>
      </c>
      <c r="I83">
        <v>0.1</v>
      </c>
      <c r="J83">
        <v>1800</v>
      </c>
    </row>
    <row r="84" spans="1:10" x14ac:dyDescent="0.3">
      <c r="A84">
        <v>10083</v>
      </c>
      <c r="B84" s="1">
        <v>45693</v>
      </c>
      <c r="C84" t="s">
        <v>91</v>
      </c>
      <c r="D84" t="s">
        <v>23</v>
      </c>
      <c r="E84" t="s">
        <v>24</v>
      </c>
      <c r="F84" t="s">
        <v>18</v>
      </c>
      <c r="G84">
        <v>3</v>
      </c>
      <c r="H84">
        <v>2700</v>
      </c>
      <c r="I84">
        <v>0.25</v>
      </c>
      <c r="J84">
        <v>360</v>
      </c>
    </row>
    <row r="85" spans="1:10" x14ac:dyDescent="0.3">
      <c r="A85">
        <v>10084</v>
      </c>
      <c r="B85" s="1">
        <v>45840</v>
      </c>
      <c r="C85" t="s">
        <v>92</v>
      </c>
      <c r="D85" t="s">
        <v>11</v>
      </c>
      <c r="E85" t="s">
        <v>12</v>
      </c>
      <c r="F85" t="s">
        <v>36</v>
      </c>
      <c r="G85">
        <v>5</v>
      </c>
      <c r="H85">
        <v>855</v>
      </c>
      <c r="I85">
        <v>0.05</v>
      </c>
      <c r="J85">
        <v>360</v>
      </c>
    </row>
    <row r="86" spans="1:10" x14ac:dyDescent="0.3">
      <c r="A86">
        <v>10085</v>
      </c>
      <c r="B86" s="1">
        <v>45930</v>
      </c>
      <c r="C86" t="s">
        <v>53</v>
      </c>
      <c r="D86" t="s">
        <v>23</v>
      </c>
      <c r="E86" t="s">
        <v>24</v>
      </c>
      <c r="F86" t="s">
        <v>21</v>
      </c>
      <c r="G86">
        <v>3</v>
      </c>
      <c r="H86">
        <v>3600</v>
      </c>
      <c r="I86">
        <v>0</v>
      </c>
      <c r="J86">
        <v>1260</v>
      </c>
    </row>
    <row r="87" spans="1:10" x14ac:dyDescent="0.3">
      <c r="A87">
        <v>10086</v>
      </c>
      <c r="B87" s="1">
        <v>45844</v>
      </c>
      <c r="C87" t="s">
        <v>93</v>
      </c>
      <c r="D87" t="s">
        <v>17</v>
      </c>
      <c r="E87" t="s">
        <v>16</v>
      </c>
      <c r="F87" t="s">
        <v>13</v>
      </c>
      <c r="G87">
        <v>1</v>
      </c>
      <c r="H87">
        <v>11400</v>
      </c>
      <c r="I87">
        <v>0.05</v>
      </c>
      <c r="J87">
        <v>2760</v>
      </c>
    </row>
    <row r="88" spans="1:10" x14ac:dyDescent="0.3">
      <c r="A88">
        <v>10087</v>
      </c>
      <c r="B88" s="1">
        <v>45733</v>
      </c>
      <c r="C88" t="s">
        <v>94</v>
      </c>
      <c r="D88" t="s">
        <v>17</v>
      </c>
      <c r="E88" t="s">
        <v>16</v>
      </c>
      <c r="F88" t="s">
        <v>36</v>
      </c>
      <c r="G88">
        <v>4</v>
      </c>
      <c r="H88">
        <v>36000</v>
      </c>
      <c r="I88">
        <v>0.25</v>
      </c>
      <c r="J88">
        <v>1440</v>
      </c>
    </row>
    <row r="89" spans="1:10" x14ac:dyDescent="0.3">
      <c r="A89">
        <v>10088</v>
      </c>
      <c r="B89" s="1">
        <v>45801</v>
      </c>
      <c r="C89" t="s">
        <v>95</v>
      </c>
      <c r="D89" t="s">
        <v>17</v>
      </c>
      <c r="E89" t="s">
        <v>16</v>
      </c>
      <c r="F89" t="s">
        <v>13</v>
      </c>
      <c r="G89">
        <v>3</v>
      </c>
      <c r="H89">
        <v>32400</v>
      </c>
      <c r="I89">
        <v>0.1</v>
      </c>
      <c r="J89">
        <v>6480</v>
      </c>
    </row>
    <row r="90" spans="1:10" x14ac:dyDescent="0.3">
      <c r="A90">
        <v>10089</v>
      </c>
      <c r="B90" s="1">
        <v>45710</v>
      </c>
      <c r="C90" t="s">
        <v>56</v>
      </c>
      <c r="D90" t="s">
        <v>26</v>
      </c>
      <c r="E90" t="s">
        <v>27</v>
      </c>
      <c r="F90" t="s">
        <v>13</v>
      </c>
      <c r="G90">
        <v>4</v>
      </c>
      <c r="H90">
        <v>17100</v>
      </c>
      <c r="I90">
        <v>0.05</v>
      </c>
      <c r="J90">
        <v>2340</v>
      </c>
    </row>
    <row r="91" spans="1:10" x14ac:dyDescent="0.3">
      <c r="A91">
        <v>10090</v>
      </c>
      <c r="B91" s="1">
        <v>45843</v>
      </c>
      <c r="C91" t="s">
        <v>66</v>
      </c>
      <c r="D91" t="s">
        <v>11</v>
      </c>
      <c r="E91" t="s">
        <v>12</v>
      </c>
      <c r="F91" t="s">
        <v>36</v>
      </c>
      <c r="G91">
        <v>5</v>
      </c>
      <c r="H91">
        <v>675</v>
      </c>
      <c r="I91">
        <v>0.25</v>
      </c>
      <c r="J91">
        <v>180</v>
      </c>
    </row>
    <row r="92" spans="1:10" x14ac:dyDescent="0.3">
      <c r="A92">
        <v>10091</v>
      </c>
      <c r="B92" s="1">
        <v>45878</v>
      </c>
      <c r="C92" t="s">
        <v>89</v>
      </c>
      <c r="D92" t="s">
        <v>34</v>
      </c>
      <c r="E92" t="s">
        <v>24</v>
      </c>
      <c r="F92" t="s">
        <v>21</v>
      </c>
      <c r="G92">
        <v>5</v>
      </c>
      <c r="H92">
        <v>9350</v>
      </c>
      <c r="I92">
        <v>0.15</v>
      </c>
      <c r="J92">
        <v>2200</v>
      </c>
    </row>
    <row r="93" spans="1:10" x14ac:dyDescent="0.3">
      <c r="A93">
        <v>10092</v>
      </c>
      <c r="B93" s="1">
        <v>45910</v>
      </c>
      <c r="C93" t="s">
        <v>96</v>
      </c>
      <c r="D93" t="s">
        <v>23</v>
      </c>
      <c r="E93" t="s">
        <v>24</v>
      </c>
      <c r="F93" t="s">
        <v>21</v>
      </c>
      <c r="G93">
        <v>2</v>
      </c>
      <c r="H93">
        <v>1920</v>
      </c>
      <c r="I93">
        <v>0.2</v>
      </c>
      <c r="J93">
        <v>360</v>
      </c>
    </row>
    <row r="94" spans="1:10" x14ac:dyDescent="0.3">
      <c r="A94">
        <v>10093</v>
      </c>
      <c r="B94" s="1">
        <v>45940</v>
      </c>
      <c r="C94" t="s">
        <v>81</v>
      </c>
      <c r="D94" t="s">
        <v>52</v>
      </c>
      <c r="E94" t="s">
        <v>24</v>
      </c>
      <c r="F94" t="s">
        <v>21</v>
      </c>
      <c r="G94">
        <v>2</v>
      </c>
      <c r="H94">
        <v>3420</v>
      </c>
      <c r="I94">
        <v>0.05</v>
      </c>
      <c r="J94">
        <v>1080</v>
      </c>
    </row>
    <row r="95" spans="1:10" x14ac:dyDescent="0.3">
      <c r="A95">
        <v>10094</v>
      </c>
      <c r="B95" s="1">
        <v>45996</v>
      </c>
      <c r="C95" t="s">
        <v>97</v>
      </c>
      <c r="D95" t="s">
        <v>15</v>
      </c>
      <c r="E95" t="s">
        <v>16</v>
      </c>
      <c r="F95" t="s">
        <v>18</v>
      </c>
      <c r="G95">
        <v>5</v>
      </c>
      <c r="H95">
        <v>75000</v>
      </c>
      <c r="I95">
        <v>0</v>
      </c>
      <c r="J95">
        <v>21000</v>
      </c>
    </row>
    <row r="96" spans="1:10" x14ac:dyDescent="0.3">
      <c r="A96">
        <v>10095</v>
      </c>
      <c r="B96" s="1">
        <v>45984</v>
      </c>
      <c r="C96" t="s">
        <v>98</v>
      </c>
      <c r="D96" t="s">
        <v>41</v>
      </c>
      <c r="E96" t="s">
        <v>27</v>
      </c>
      <c r="F96" t="s">
        <v>18</v>
      </c>
      <c r="G96">
        <v>4</v>
      </c>
      <c r="H96">
        <v>209000</v>
      </c>
      <c r="I96">
        <v>0.05</v>
      </c>
      <c r="J96">
        <v>28600</v>
      </c>
    </row>
    <row r="97" spans="1:10" x14ac:dyDescent="0.3">
      <c r="A97">
        <v>10096</v>
      </c>
      <c r="B97" s="1">
        <v>46021</v>
      </c>
      <c r="C97" t="s">
        <v>99</v>
      </c>
      <c r="D97" t="s">
        <v>17</v>
      </c>
      <c r="E97" t="s">
        <v>16</v>
      </c>
      <c r="F97" t="s">
        <v>21</v>
      </c>
      <c r="G97">
        <v>4</v>
      </c>
      <c r="H97">
        <v>48000</v>
      </c>
      <c r="I97">
        <v>0</v>
      </c>
      <c r="J97">
        <v>13440</v>
      </c>
    </row>
    <row r="98" spans="1:10" x14ac:dyDescent="0.3">
      <c r="A98">
        <v>10097</v>
      </c>
      <c r="B98" s="1">
        <v>45830</v>
      </c>
      <c r="C98" t="s">
        <v>100</v>
      </c>
      <c r="D98" t="s">
        <v>34</v>
      </c>
      <c r="E98" t="s">
        <v>24</v>
      </c>
      <c r="F98" t="s">
        <v>21</v>
      </c>
      <c r="G98">
        <v>3</v>
      </c>
      <c r="H98">
        <v>6600</v>
      </c>
      <c r="I98">
        <v>0</v>
      </c>
      <c r="J98">
        <v>2310</v>
      </c>
    </row>
    <row r="99" spans="1:10" x14ac:dyDescent="0.3">
      <c r="A99">
        <v>10098</v>
      </c>
      <c r="B99" s="1">
        <v>45974</v>
      </c>
      <c r="C99" t="s">
        <v>101</v>
      </c>
      <c r="D99" t="s">
        <v>34</v>
      </c>
      <c r="E99" t="s">
        <v>24</v>
      </c>
      <c r="F99" t="s">
        <v>13</v>
      </c>
      <c r="G99">
        <v>4</v>
      </c>
      <c r="H99">
        <v>8800</v>
      </c>
      <c r="I99">
        <v>0</v>
      </c>
      <c r="J99">
        <v>3080</v>
      </c>
    </row>
    <row r="100" spans="1:10" x14ac:dyDescent="0.3">
      <c r="A100">
        <v>10099</v>
      </c>
      <c r="B100" s="1">
        <v>46005</v>
      </c>
      <c r="C100" t="s">
        <v>53</v>
      </c>
      <c r="D100" t="s">
        <v>11</v>
      </c>
      <c r="E100" t="s">
        <v>12</v>
      </c>
      <c r="F100" t="s">
        <v>13</v>
      </c>
      <c r="G100">
        <v>1</v>
      </c>
      <c r="H100">
        <v>153</v>
      </c>
      <c r="I100">
        <v>0.15</v>
      </c>
      <c r="J100">
        <v>54</v>
      </c>
    </row>
    <row r="101" spans="1:10" x14ac:dyDescent="0.3">
      <c r="A101">
        <v>10100</v>
      </c>
      <c r="B101" s="1">
        <v>45791</v>
      </c>
      <c r="C101" t="s">
        <v>19</v>
      </c>
      <c r="D101" t="s">
        <v>52</v>
      </c>
      <c r="E101" t="s">
        <v>24</v>
      </c>
      <c r="F101" t="s">
        <v>18</v>
      </c>
      <c r="G101">
        <v>1</v>
      </c>
      <c r="H101">
        <v>1710</v>
      </c>
      <c r="I101">
        <v>0.05</v>
      </c>
      <c r="J101">
        <v>540</v>
      </c>
    </row>
    <row r="102" spans="1:10" x14ac:dyDescent="0.3">
      <c r="A102">
        <v>10101</v>
      </c>
      <c r="B102" s="1">
        <v>45886</v>
      </c>
      <c r="C102" t="s">
        <v>70</v>
      </c>
      <c r="D102" t="s">
        <v>15</v>
      </c>
      <c r="E102" t="s">
        <v>16</v>
      </c>
      <c r="F102" t="s">
        <v>18</v>
      </c>
      <c r="G102">
        <v>5</v>
      </c>
      <c r="H102">
        <v>56250</v>
      </c>
      <c r="I102">
        <v>0.25</v>
      </c>
      <c r="J102">
        <v>2250</v>
      </c>
    </row>
    <row r="103" spans="1:10" x14ac:dyDescent="0.3">
      <c r="A103">
        <v>10102</v>
      </c>
      <c r="B103" s="1">
        <v>45962</v>
      </c>
      <c r="C103" t="s">
        <v>102</v>
      </c>
      <c r="D103" t="s">
        <v>23</v>
      </c>
      <c r="E103" t="s">
        <v>24</v>
      </c>
      <c r="F103" t="s">
        <v>36</v>
      </c>
      <c r="G103">
        <v>2</v>
      </c>
      <c r="H103">
        <v>2400</v>
      </c>
      <c r="I103">
        <v>0</v>
      </c>
      <c r="J103">
        <v>840</v>
      </c>
    </row>
    <row r="104" spans="1:10" x14ac:dyDescent="0.3">
      <c r="A104">
        <v>10103</v>
      </c>
      <c r="B104" s="1">
        <v>45916</v>
      </c>
      <c r="C104" t="s">
        <v>56</v>
      </c>
      <c r="D104" t="s">
        <v>41</v>
      </c>
      <c r="E104" t="s">
        <v>27</v>
      </c>
      <c r="F104" t="s">
        <v>36</v>
      </c>
      <c r="G104">
        <v>5</v>
      </c>
      <c r="H104">
        <v>233750</v>
      </c>
      <c r="I104">
        <v>0.15</v>
      </c>
      <c r="J104">
        <v>8250</v>
      </c>
    </row>
    <row r="105" spans="1:10" x14ac:dyDescent="0.3">
      <c r="A105">
        <v>10104</v>
      </c>
      <c r="B105" s="1">
        <v>45881</v>
      </c>
      <c r="C105" t="s">
        <v>103</v>
      </c>
      <c r="D105" t="s">
        <v>23</v>
      </c>
      <c r="E105" t="s">
        <v>24</v>
      </c>
      <c r="F105" t="s">
        <v>18</v>
      </c>
      <c r="G105">
        <v>3</v>
      </c>
      <c r="H105">
        <v>3420</v>
      </c>
      <c r="I105">
        <v>0.05</v>
      </c>
      <c r="J105">
        <v>1080</v>
      </c>
    </row>
    <row r="106" spans="1:10" x14ac:dyDescent="0.3">
      <c r="A106">
        <v>10105</v>
      </c>
      <c r="B106" s="1">
        <v>45665</v>
      </c>
      <c r="C106" t="s">
        <v>81</v>
      </c>
      <c r="D106" t="s">
        <v>20</v>
      </c>
      <c r="E106" t="s">
        <v>12</v>
      </c>
      <c r="F106" t="s">
        <v>18</v>
      </c>
      <c r="G106">
        <v>4</v>
      </c>
      <c r="H106">
        <v>1000</v>
      </c>
      <c r="I106">
        <v>0</v>
      </c>
      <c r="J106">
        <v>450</v>
      </c>
    </row>
    <row r="107" spans="1:10" x14ac:dyDescent="0.3">
      <c r="A107">
        <v>10106</v>
      </c>
      <c r="B107" s="1">
        <v>45973</v>
      </c>
      <c r="C107" t="s">
        <v>104</v>
      </c>
      <c r="D107" t="s">
        <v>17</v>
      </c>
      <c r="E107" t="s">
        <v>16</v>
      </c>
      <c r="F107" t="s">
        <v>18</v>
      </c>
      <c r="G107">
        <v>2</v>
      </c>
      <c r="H107">
        <v>22800</v>
      </c>
      <c r="I107">
        <v>0.05</v>
      </c>
      <c r="J107">
        <v>5520</v>
      </c>
    </row>
    <row r="108" spans="1:10" x14ac:dyDescent="0.3">
      <c r="A108">
        <v>10107</v>
      </c>
      <c r="B108" s="1">
        <v>45802</v>
      </c>
      <c r="C108" t="s">
        <v>100</v>
      </c>
      <c r="D108" t="s">
        <v>15</v>
      </c>
      <c r="E108" t="s">
        <v>16</v>
      </c>
      <c r="F108" t="s">
        <v>21</v>
      </c>
      <c r="G108">
        <v>1</v>
      </c>
      <c r="H108">
        <v>14250</v>
      </c>
      <c r="I108">
        <v>0.05</v>
      </c>
      <c r="J108">
        <v>3450</v>
      </c>
    </row>
    <row r="109" spans="1:10" x14ac:dyDescent="0.3">
      <c r="A109">
        <v>10108</v>
      </c>
      <c r="B109" s="1">
        <v>45913</v>
      </c>
      <c r="C109" t="s">
        <v>78</v>
      </c>
      <c r="D109" t="s">
        <v>26</v>
      </c>
      <c r="E109" t="s">
        <v>27</v>
      </c>
      <c r="F109" t="s">
        <v>13</v>
      </c>
      <c r="G109">
        <v>5</v>
      </c>
      <c r="H109">
        <v>16875</v>
      </c>
      <c r="I109">
        <v>0.25</v>
      </c>
      <c r="J109">
        <v>-1575</v>
      </c>
    </row>
    <row r="110" spans="1:10" x14ac:dyDescent="0.3">
      <c r="A110">
        <v>10109</v>
      </c>
      <c r="B110" s="1">
        <v>45899</v>
      </c>
      <c r="C110" t="s">
        <v>105</v>
      </c>
      <c r="D110" t="s">
        <v>30</v>
      </c>
      <c r="E110" t="s">
        <v>27</v>
      </c>
      <c r="F110" t="s">
        <v>13</v>
      </c>
      <c r="G110">
        <v>2</v>
      </c>
      <c r="H110">
        <v>45000</v>
      </c>
      <c r="I110">
        <v>0.25</v>
      </c>
      <c r="J110">
        <v>-4200</v>
      </c>
    </row>
    <row r="111" spans="1:10" x14ac:dyDescent="0.3">
      <c r="A111">
        <v>10110</v>
      </c>
      <c r="B111" s="1">
        <v>45803</v>
      </c>
      <c r="C111" t="s">
        <v>106</v>
      </c>
      <c r="D111" t="s">
        <v>11</v>
      </c>
      <c r="E111" t="s">
        <v>12</v>
      </c>
      <c r="F111" t="s">
        <v>13</v>
      </c>
      <c r="G111">
        <v>1</v>
      </c>
      <c r="H111">
        <v>153</v>
      </c>
      <c r="I111">
        <v>0.15</v>
      </c>
      <c r="J111">
        <v>54</v>
      </c>
    </row>
    <row r="112" spans="1:10" x14ac:dyDescent="0.3">
      <c r="A112">
        <v>10111</v>
      </c>
      <c r="B112" s="1">
        <v>45940</v>
      </c>
      <c r="C112" t="s">
        <v>107</v>
      </c>
      <c r="D112" t="s">
        <v>34</v>
      </c>
      <c r="E112" t="s">
        <v>24</v>
      </c>
      <c r="F112" t="s">
        <v>13</v>
      </c>
      <c r="G112">
        <v>1</v>
      </c>
      <c r="H112">
        <v>1650</v>
      </c>
      <c r="I112">
        <v>0.25</v>
      </c>
      <c r="J112">
        <v>220</v>
      </c>
    </row>
    <row r="113" spans="1:10" x14ac:dyDescent="0.3">
      <c r="A113">
        <v>10112</v>
      </c>
      <c r="B113" s="1">
        <v>45968</v>
      </c>
      <c r="C113" t="s">
        <v>108</v>
      </c>
      <c r="D113" t="s">
        <v>26</v>
      </c>
      <c r="E113" t="s">
        <v>27</v>
      </c>
      <c r="F113" t="s">
        <v>18</v>
      </c>
      <c r="G113">
        <v>1</v>
      </c>
      <c r="H113">
        <v>4500</v>
      </c>
      <c r="I113">
        <v>0</v>
      </c>
      <c r="J113">
        <v>810</v>
      </c>
    </row>
    <row r="114" spans="1:10" x14ac:dyDescent="0.3">
      <c r="A114">
        <v>10114</v>
      </c>
      <c r="B114" s="1">
        <v>45859</v>
      </c>
      <c r="C114" t="s">
        <v>109</v>
      </c>
      <c r="D114" t="s">
        <v>11</v>
      </c>
      <c r="E114" t="s">
        <v>12</v>
      </c>
      <c r="F114" t="s">
        <v>13</v>
      </c>
      <c r="G114">
        <v>5</v>
      </c>
      <c r="H114">
        <v>765</v>
      </c>
      <c r="I114">
        <v>0.15</v>
      </c>
      <c r="J114">
        <v>270</v>
      </c>
    </row>
    <row r="115" spans="1:10" x14ac:dyDescent="0.3">
      <c r="A115">
        <v>10115</v>
      </c>
      <c r="B115" s="1">
        <v>45708</v>
      </c>
      <c r="C115" t="s">
        <v>110</v>
      </c>
      <c r="D115" t="s">
        <v>15</v>
      </c>
      <c r="E115" t="s">
        <v>16</v>
      </c>
      <c r="F115" t="s">
        <v>21</v>
      </c>
      <c r="G115">
        <v>1</v>
      </c>
      <c r="H115">
        <v>15000</v>
      </c>
      <c r="I115">
        <v>0</v>
      </c>
      <c r="J115">
        <v>4200</v>
      </c>
    </row>
    <row r="116" spans="1:10" x14ac:dyDescent="0.3">
      <c r="A116">
        <v>10116</v>
      </c>
      <c r="B116" s="1">
        <v>45691</v>
      </c>
      <c r="C116" t="s">
        <v>79</v>
      </c>
      <c r="D116" t="s">
        <v>41</v>
      </c>
      <c r="E116" t="s">
        <v>27</v>
      </c>
      <c r="F116" t="s">
        <v>36</v>
      </c>
      <c r="G116">
        <v>1</v>
      </c>
      <c r="H116">
        <v>46750</v>
      </c>
      <c r="I116">
        <v>0.15</v>
      </c>
      <c r="J116">
        <v>1650</v>
      </c>
    </row>
    <row r="117" spans="1:10" x14ac:dyDescent="0.3">
      <c r="A117">
        <v>10117</v>
      </c>
      <c r="B117" s="1">
        <v>45775</v>
      </c>
      <c r="C117" t="s">
        <v>57</v>
      </c>
      <c r="D117" t="s">
        <v>52</v>
      </c>
      <c r="E117" t="s">
        <v>24</v>
      </c>
      <c r="F117" t="s">
        <v>36</v>
      </c>
      <c r="G117">
        <v>2</v>
      </c>
      <c r="H117">
        <v>3240</v>
      </c>
      <c r="I117">
        <v>0.1</v>
      </c>
      <c r="J117">
        <v>900</v>
      </c>
    </row>
    <row r="118" spans="1:10" x14ac:dyDescent="0.3">
      <c r="A118">
        <v>10118</v>
      </c>
      <c r="B118" s="1">
        <v>45893</v>
      </c>
      <c r="C118" t="s">
        <v>111</v>
      </c>
      <c r="D118" t="s">
        <v>30</v>
      </c>
      <c r="E118" t="s">
        <v>27</v>
      </c>
      <c r="F118" t="s">
        <v>21</v>
      </c>
      <c r="G118">
        <v>4</v>
      </c>
      <c r="H118">
        <v>102000</v>
      </c>
      <c r="I118">
        <v>0.15</v>
      </c>
      <c r="J118">
        <v>3600</v>
      </c>
    </row>
    <row r="119" spans="1:10" x14ac:dyDescent="0.3">
      <c r="A119">
        <v>10119</v>
      </c>
      <c r="B119" s="1">
        <v>45960</v>
      </c>
      <c r="C119" t="s">
        <v>112</v>
      </c>
      <c r="D119" t="s">
        <v>23</v>
      </c>
      <c r="E119" t="s">
        <v>24</v>
      </c>
      <c r="F119" t="s">
        <v>21</v>
      </c>
      <c r="G119">
        <v>1</v>
      </c>
      <c r="H119">
        <v>1200</v>
      </c>
      <c r="I119">
        <v>0</v>
      </c>
      <c r="J119">
        <v>420</v>
      </c>
    </row>
    <row r="120" spans="1:10" x14ac:dyDescent="0.3">
      <c r="A120">
        <v>10120</v>
      </c>
      <c r="B120" s="1">
        <v>45849</v>
      </c>
      <c r="C120" t="s">
        <v>113</v>
      </c>
      <c r="D120" t="s">
        <v>30</v>
      </c>
      <c r="E120" t="s">
        <v>27</v>
      </c>
      <c r="F120" t="s">
        <v>21</v>
      </c>
      <c r="G120">
        <v>3</v>
      </c>
      <c r="H120">
        <v>85500</v>
      </c>
      <c r="I120">
        <v>0.05</v>
      </c>
      <c r="J120">
        <v>11700</v>
      </c>
    </row>
    <row r="121" spans="1:10" x14ac:dyDescent="0.3">
      <c r="A121">
        <v>10121</v>
      </c>
      <c r="B121" s="1">
        <v>46004</v>
      </c>
      <c r="C121" t="s">
        <v>114</v>
      </c>
      <c r="D121" t="s">
        <v>30</v>
      </c>
      <c r="E121" t="s">
        <v>27</v>
      </c>
      <c r="F121" t="s">
        <v>13</v>
      </c>
      <c r="G121">
        <v>2</v>
      </c>
      <c r="H121">
        <v>57000</v>
      </c>
      <c r="I121">
        <v>0.05</v>
      </c>
      <c r="J121">
        <v>7800</v>
      </c>
    </row>
    <row r="122" spans="1:10" x14ac:dyDescent="0.3">
      <c r="A122">
        <v>10122</v>
      </c>
      <c r="B122" s="1">
        <v>45687</v>
      </c>
      <c r="C122" t="s">
        <v>32</v>
      </c>
      <c r="D122" t="s">
        <v>20</v>
      </c>
      <c r="E122" t="s">
        <v>12</v>
      </c>
      <c r="F122" t="s">
        <v>36</v>
      </c>
      <c r="G122">
        <v>1</v>
      </c>
      <c r="H122">
        <v>212.5</v>
      </c>
      <c r="I122">
        <v>0.15</v>
      </c>
      <c r="J122">
        <v>75</v>
      </c>
    </row>
    <row r="123" spans="1:10" x14ac:dyDescent="0.3">
      <c r="A123">
        <v>10123</v>
      </c>
      <c r="B123" s="1">
        <v>45795</v>
      </c>
      <c r="C123" t="s">
        <v>115</v>
      </c>
      <c r="D123" t="s">
        <v>41</v>
      </c>
      <c r="E123" t="s">
        <v>27</v>
      </c>
      <c r="F123" t="s">
        <v>21</v>
      </c>
      <c r="G123">
        <v>5</v>
      </c>
      <c r="H123">
        <v>233750</v>
      </c>
      <c r="I123">
        <v>0.15</v>
      </c>
      <c r="J123">
        <v>8250</v>
      </c>
    </row>
    <row r="124" spans="1:10" x14ac:dyDescent="0.3">
      <c r="A124">
        <v>10124</v>
      </c>
      <c r="B124" s="1">
        <v>45726</v>
      </c>
      <c r="C124" t="s">
        <v>84</v>
      </c>
      <c r="D124" t="s">
        <v>41</v>
      </c>
      <c r="E124" t="s">
        <v>27</v>
      </c>
      <c r="F124" t="s">
        <v>21</v>
      </c>
      <c r="G124">
        <v>4</v>
      </c>
      <c r="H124">
        <v>220000</v>
      </c>
      <c r="I124">
        <v>0</v>
      </c>
      <c r="J124">
        <v>39600</v>
      </c>
    </row>
    <row r="125" spans="1:10" x14ac:dyDescent="0.3">
      <c r="A125">
        <v>10125</v>
      </c>
      <c r="B125" s="1">
        <v>45892</v>
      </c>
      <c r="C125" t="s">
        <v>88</v>
      </c>
      <c r="D125" t="s">
        <v>15</v>
      </c>
      <c r="E125" t="s">
        <v>16</v>
      </c>
      <c r="F125" t="s">
        <v>18</v>
      </c>
      <c r="G125">
        <v>2</v>
      </c>
      <c r="H125">
        <v>28500</v>
      </c>
      <c r="I125">
        <v>0.05</v>
      </c>
      <c r="J125">
        <v>6900</v>
      </c>
    </row>
    <row r="126" spans="1:10" x14ac:dyDescent="0.3">
      <c r="A126">
        <v>10126</v>
      </c>
      <c r="B126" s="1">
        <v>45993</v>
      </c>
      <c r="C126" t="s">
        <v>116</v>
      </c>
      <c r="D126" t="s">
        <v>26</v>
      </c>
      <c r="E126" t="s">
        <v>27</v>
      </c>
      <c r="F126" t="s">
        <v>36</v>
      </c>
      <c r="G126">
        <v>1</v>
      </c>
      <c r="H126">
        <v>4050</v>
      </c>
      <c r="I126">
        <v>0.1</v>
      </c>
      <c r="J126">
        <v>360</v>
      </c>
    </row>
    <row r="127" spans="1:10" x14ac:dyDescent="0.3">
      <c r="A127">
        <v>10127</v>
      </c>
      <c r="B127" s="1">
        <v>45841</v>
      </c>
      <c r="C127" t="s">
        <v>117</v>
      </c>
      <c r="D127" t="s">
        <v>20</v>
      </c>
      <c r="E127" t="s">
        <v>12</v>
      </c>
      <c r="F127" t="s">
        <v>36</v>
      </c>
      <c r="G127">
        <v>4</v>
      </c>
      <c r="H127">
        <v>950</v>
      </c>
      <c r="I127">
        <v>0.05</v>
      </c>
      <c r="J127">
        <v>400</v>
      </c>
    </row>
    <row r="128" spans="1:10" x14ac:dyDescent="0.3">
      <c r="A128">
        <v>10128</v>
      </c>
      <c r="B128" s="1">
        <v>45718</v>
      </c>
      <c r="C128" t="s">
        <v>81</v>
      </c>
      <c r="D128" t="s">
        <v>26</v>
      </c>
      <c r="E128" t="s">
        <v>27</v>
      </c>
      <c r="F128" t="s">
        <v>36</v>
      </c>
      <c r="G128">
        <v>3</v>
      </c>
      <c r="H128">
        <v>11475</v>
      </c>
      <c r="I128">
        <v>0.15</v>
      </c>
      <c r="J128">
        <v>405</v>
      </c>
    </row>
    <row r="129" spans="1:10" x14ac:dyDescent="0.3">
      <c r="A129">
        <v>10129</v>
      </c>
      <c r="B129" s="1">
        <v>45749</v>
      </c>
      <c r="C129" t="s">
        <v>118</v>
      </c>
      <c r="D129" t="s">
        <v>26</v>
      </c>
      <c r="E129" t="s">
        <v>27</v>
      </c>
      <c r="F129" t="s">
        <v>21</v>
      </c>
      <c r="G129">
        <v>5</v>
      </c>
      <c r="H129">
        <v>22500</v>
      </c>
      <c r="I129">
        <v>0</v>
      </c>
      <c r="J129">
        <v>4050</v>
      </c>
    </row>
    <row r="130" spans="1:10" x14ac:dyDescent="0.3">
      <c r="A130">
        <v>10130</v>
      </c>
      <c r="B130" s="1">
        <v>45669</v>
      </c>
      <c r="C130" t="s">
        <v>45</v>
      </c>
      <c r="D130" t="s">
        <v>15</v>
      </c>
      <c r="E130" t="s">
        <v>16</v>
      </c>
      <c r="F130" t="s">
        <v>21</v>
      </c>
      <c r="G130">
        <v>1</v>
      </c>
      <c r="H130">
        <v>13500</v>
      </c>
      <c r="I130">
        <v>0.1</v>
      </c>
      <c r="J130">
        <v>2700</v>
      </c>
    </row>
    <row r="131" spans="1:10" x14ac:dyDescent="0.3">
      <c r="A131">
        <v>10131</v>
      </c>
      <c r="B131" s="1">
        <v>45958</v>
      </c>
      <c r="C131" t="s">
        <v>119</v>
      </c>
      <c r="D131" t="s">
        <v>30</v>
      </c>
      <c r="E131" t="s">
        <v>27</v>
      </c>
      <c r="F131" t="s">
        <v>21</v>
      </c>
      <c r="G131">
        <v>1</v>
      </c>
      <c r="H131">
        <v>27000</v>
      </c>
      <c r="I131">
        <v>0.1</v>
      </c>
      <c r="J131">
        <v>2400</v>
      </c>
    </row>
    <row r="132" spans="1:10" x14ac:dyDescent="0.3">
      <c r="A132">
        <v>10132</v>
      </c>
      <c r="B132" s="1">
        <v>45713</v>
      </c>
      <c r="C132" t="s">
        <v>120</v>
      </c>
      <c r="D132" t="s">
        <v>23</v>
      </c>
      <c r="E132" t="s">
        <v>24</v>
      </c>
      <c r="F132" t="s">
        <v>36</v>
      </c>
      <c r="G132">
        <v>1</v>
      </c>
      <c r="H132">
        <v>1020</v>
      </c>
      <c r="I132">
        <v>0.15</v>
      </c>
      <c r="J132">
        <v>240</v>
      </c>
    </row>
    <row r="133" spans="1:10" x14ac:dyDescent="0.3">
      <c r="A133">
        <v>10133</v>
      </c>
      <c r="B133" s="1">
        <v>45665</v>
      </c>
      <c r="C133" t="s">
        <v>53</v>
      </c>
      <c r="D133" t="s">
        <v>41</v>
      </c>
      <c r="E133" t="s">
        <v>27</v>
      </c>
      <c r="F133" t="s">
        <v>36</v>
      </c>
      <c r="G133">
        <v>2</v>
      </c>
      <c r="H133">
        <v>88000</v>
      </c>
      <c r="I133">
        <v>0.2</v>
      </c>
      <c r="J133">
        <v>-2200</v>
      </c>
    </row>
    <row r="134" spans="1:10" x14ac:dyDescent="0.3">
      <c r="A134">
        <v>10134</v>
      </c>
      <c r="B134" s="1">
        <v>45735</v>
      </c>
      <c r="C134" t="s">
        <v>29</v>
      </c>
      <c r="D134" t="s">
        <v>17</v>
      </c>
      <c r="E134" t="s">
        <v>16</v>
      </c>
      <c r="F134" t="s">
        <v>13</v>
      </c>
      <c r="G134">
        <v>2</v>
      </c>
      <c r="H134">
        <v>20400</v>
      </c>
      <c r="I134">
        <v>0.15</v>
      </c>
      <c r="J134">
        <v>3120</v>
      </c>
    </row>
    <row r="135" spans="1:10" x14ac:dyDescent="0.3">
      <c r="A135">
        <v>10135</v>
      </c>
      <c r="B135" s="1">
        <v>45664</v>
      </c>
      <c r="C135" t="s">
        <v>57</v>
      </c>
      <c r="D135" t="s">
        <v>34</v>
      </c>
      <c r="E135" t="s">
        <v>24</v>
      </c>
      <c r="F135" t="s">
        <v>36</v>
      </c>
      <c r="G135">
        <v>3</v>
      </c>
      <c r="H135">
        <v>6270</v>
      </c>
      <c r="I135">
        <v>0.05</v>
      </c>
      <c r="J135">
        <v>1980</v>
      </c>
    </row>
    <row r="136" spans="1:10" x14ac:dyDescent="0.3">
      <c r="A136">
        <v>10136</v>
      </c>
      <c r="B136" s="1">
        <v>45931</v>
      </c>
      <c r="C136" t="s">
        <v>113</v>
      </c>
      <c r="D136" t="s">
        <v>11</v>
      </c>
      <c r="E136" t="s">
        <v>12</v>
      </c>
      <c r="F136" t="s">
        <v>36</v>
      </c>
      <c r="G136">
        <v>3</v>
      </c>
      <c r="H136">
        <v>486</v>
      </c>
      <c r="I136">
        <v>0.1</v>
      </c>
      <c r="J136">
        <v>189</v>
      </c>
    </row>
    <row r="137" spans="1:10" x14ac:dyDescent="0.3">
      <c r="A137">
        <v>10137</v>
      </c>
      <c r="B137" s="1">
        <v>45685</v>
      </c>
      <c r="C137" t="s">
        <v>59</v>
      </c>
      <c r="D137" t="s">
        <v>26</v>
      </c>
      <c r="E137" t="s">
        <v>27</v>
      </c>
      <c r="F137" t="s">
        <v>13</v>
      </c>
      <c r="G137">
        <v>1</v>
      </c>
      <c r="H137">
        <v>3825</v>
      </c>
      <c r="I137">
        <v>0.15</v>
      </c>
      <c r="J137">
        <v>135</v>
      </c>
    </row>
    <row r="138" spans="1:10" x14ac:dyDescent="0.3">
      <c r="A138">
        <v>10138</v>
      </c>
      <c r="B138" s="1">
        <v>45682</v>
      </c>
      <c r="C138" t="s">
        <v>115</v>
      </c>
      <c r="D138" t="s">
        <v>41</v>
      </c>
      <c r="E138" t="s">
        <v>27</v>
      </c>
      <c r="F138" t="s">
        <v>13</v>
      </c>
      <c r="G138">
        <v>2</v>
      </c>
      <c r="H138">
        <v>99000</v>
      </c>
      <c r="I138">
        <v>0.1</v>
      </c>
      <c r="J138">
        <v>8800</v>
      </c>
    </row>
    <row r="139" spans="1:10" x14ac:dyDescent="0.3">
      <c r="A139">
        <v>10139</v>
      </c>
      <c r="B139" s="1">
        <v>45724</v>
      </c>
      <c r="C139" t="s">
        <v>105</v>
      </c>
      <c r="D139" t="s">
        <v>17</v>
      </c>
      <c r="E139" t="s">
        <v>16</v>
      </c>
      <c r="F139" t="s">
        <v>21</v>
      </c>
      <c r="G139">
        <v>1</v>
      </c>
      <c r="H139">
        <v>10200</v>
      </c>
      <c r="I139">
        <v>0.15</v>
      </c>
      <c r="J139">
        <v>1560</v>
      </c>
    </row>
    <row r="140" spans="1:10" x14ac:dyDescent="0.3">
      <c r="A140">
        <v>10140</v>
      </c>
      <c r="B140" s="1">
        <v>45893</v>
      </c>
      <c r="C140" t="s">
        <v>109</v>
      </c>
      <c r="D140" t="s">
        <v>17</v>
      </c>
      <c r="E140" t="s">
        <v>16</v>
      </c>
      <c r="F140" t="s">
        <v>21</v>
      </c>
      <c r="G140">
        <v>2</v>
      </c>
      <c r="H140">
        <v>21600</v>
      </c>
      <c r="I140">
        <v>0.1</v>
      </c>
      <c r="J140">
        <v>4320</v>
      </c>
    </row>
    <row r="141" spans="1:10" x14ac:dyDescent="0.3">
      <c r="A141">
        <v>10141</v>
      </c>
      <c r="B141" s="1">
        <v>45939</v>
      </c>
      <c r="C141" t="s">
        <v>121</v>
      </c>
      <c r="D141" t="s">
        <v>23</v>
      </c>
      <c r="E141" t="s">
        <v>24</v>
      </c>
      <c r="F141" t="s">
        <v>21</v>
      </c>
      <c r="G141">
        <v>5</v>
      </c>
      <c r="H141">
        <v>5700</v>
      </c>
      <c r="I141">
        <v>0.05</v>
      </c>
      <c r="J141">
        <v>1800</v>
      </c>
    </row>
    <row r="142" spans="1:10" x14ac:dyDescent="0.3">
      <c r="A142">
        <v>10142</v>
      </c>
      <c r="B142" s="1">
        <v>45886</v>
      </c>
      <c r="C142" t="s">
        <v>122</v>
      </c>
      <c r="D142" t="s">
        <v>52</v>
      </c>
      <c r="E142" t="s">
        <v>24</v>
      </c>
      <c r="F142" t="s">
        <v>13</v>
      </c>
      <c r="G142">
        <v>3</v>
      </c>
      <c r="H142">
        <v>4050</v>
      </c>
      <c r="I142">
        <v>0.25</v>
      </c>
      <c r="J142">
        <v>540</v>
      </c>
    </row>
    <row r="143" spans="1:10" x14ac:dyDescent="0.3">
      <c r="A143">
        <v>10143</v>
      </c>
      <c r="B143" s="1">
        <v>45769</v>
      </c>
      <c r="C143" t="s">
        <v>110</v>
      </c>
      <c r="D143" t="s">
        <v>15</v>
      </c>
      <c r="E143" t="s">
        <v>16</v>
      </c>
      <c r="F143" t="s">
        <v>21</v>
      </c>
      <c r="G143">
        <v>5</v>
      </c>
      <c r="H143">
        <v>75000</v>
      </c>
      <c r="I143">
        <v>0</v>
      </c>
      <c r="J143">
        <v>21000</v>
      </c>
    </row>
    <row r="144" spans="1:10" x14ac:dyDescent="0.3">
      <c r="A144">
        <v>10144</v>
      </c>
      <c r="B144" s="1">
        <v>45900</v>
      </c>
      <c r="C144" t="s">
        <v>123</v>
      </c>
      <c r="D144" t="s">
        <v>52</v>
      </c>
      <c r="E144" t="s">
        <v>24</v>
      </c>
      <c r="F144" t="s">
        <v>18</v>
      </c>
      <c r="G144">
        <v>1</v>
      </c>
      <c r="H144">
        <v>1800</v>
      </c>
      <c r="I144">
        <v>0</v>
      </c>
      <c r="J144">
        <v>630</v>
      </c>
    </row>
    <row r="145" spans="1:10" x14ac:dyDescent="0.3">
      <c r="A145">
        <v>10145</v>
      </c>
      <c r="B145" s="1">
        <v>45663</v>
      </c>
      <c r="C145" t="s">
        <v>47</v>
      </c>
      <c r="D145" t="s">
        <v>15</v>
      </c>
      <c r="E145" t="s">
        <v>16</v>
      </c>
      <c r="F145" t="s">
        <v>18</v>
      </c>
      <c r="G145">
        <v>4</v>
      </c>
      <c r="H145">
        <v>45000</v>
      </c>
      <c r="I145">
        <v>0.25</v>
      </c>
      <c r="J145">
        <v>1800</v>
      </c>
    </row>
    <row r="146" spans="1:10" x14ac:dyDescent="0.3">
      <c r="A146">
        <v>10147</v>
      </c>
      <c r="B146" s="1">
        <v>45957</v>
      </c>
      <c r="C146" t="s">
        <v>111</v>
      </c>
      <c r="D146" t="s">
        <v>52</v>
      </c>
      <c r="E146" t="s">
        <v>24</v>
      </c>
      <c r="F146" t="s">
        <v>21</v>
      </c>
      <c r="G146">
        <v>2</v>
      </c>
      <c r="H146">
        <v>3420</v>
      </c>
      <c r="I146">
        <v>0.05</v>
      </c>
      <c r="J146">
        <v>1080</v>
      </c>
    </row>
    <row r="147" spans="1:10" x14ac:dyDescent="0.3">
      <c r="A147">
        <v>10148</v>
      </c>
      <c r="B147" s="1">
        <v>45882</v>
      </c>
      <c r="C147" t="s">
        <v>125</v>
      </c>
      <c r="D147" t="s">
        <v>34</v>
      </c>
      <c r="E147" t="s">
        <v>24</v>
      </c>
      <c r="F147" t="s">
        <v>13</v>
      </c>
      <c r="G147">
        <v>4</v>
      </c>
      <c r="H147">
        <v>7920</v>
      </c>
      <c r="I147">
        <v>0.1</v>
      </c>
      <c r="J147">
        <v>2200</v>
      </c>
    </row>
    <row r="148" spans="1:10" x14ac:dyDescent="0.3">
      <c r="A148">
        <v>10149</v>
      </c>
      <c r="B148" s="1">
        <v>45695</v>
      </c>
      <c r="C148" t="s">
        <v>62</v>
      </c>
      <c r="D148" t="s">
        <v>41</v>
      </c>
      <c r="E148" t="s">
        <v>27</v>
      </c>
      <c r="F148" t="s">
        <v>21</v>
      </c>
      <c r="G148">
        <v>2</v>
      </c>
      <c r="H148">
        <v>93500</v>
      </c>
      <c r="I148">
        <v>0.15</v>
      </c>
      <c r="J148">
        <v>3300</v>
      </c>
    </row>
    <row r="149" spans="1:10" x14ac:dyDescent="0.3">
      <c r="A149">
        <v>10150</v>
      </c>
      <c r="B149" s="1">
        <v>45818</v>
      </c>
      <c r="C149" t="s">
        <v>126</v>
      </c>
      <c r="D149" t="s">
        <v>17</v>
      </c>
      <c r="E149" t="s">
        <v>16</v>
      </c>
      <c r="F149" t="s">
        <v>21</v>
      </c>
      <c r="G149">
        <v>5</v>
      </c>
      <c r="H149">
        <v>54000</v>
      </c>
      <c r="I149">
        <v>0.1</v>
      </c>
      <c r="J149">
        <v>10800</v>
      </c>
    </row>
    <row r="150" spans="1:10" x14ac:dyDescent="0.3">
      <c r="A150">
        <v>10151</v>
      </c>
      <c r="B150" s="1">
        <v>45795</v>
      </c>
      <c r="C150" t="s">
        <v>29</v>
      </c>
      <c r="D150" t="s">
        <v>52</v>
      </c>
      <c r="E150" t="s">
        <v>24</v>
      </c>
      <c r="F150" t="s">
        <v>13</v>
      </c>
      <c r="G150">
        <v>2</v>
      </c>
      <c r="H150">
        <v>3240</v>
      </c>
      <c r="I150">
        <v>0.1</v>
      </c>
      <c r="J150">
        <v>900</v>
      </c>
    </row>
    <row r="151" spans="1:10" x14ac:dyDescent="0.3">
      <c r="A151">
        <v>10152</v>
      </c>
      <c r="B151" s="1">
        <v>45976</v>
      </c>
      <c r="C151" t="s">
        <v>83</v>
      </c>
      <c r="D151" t="s">
        <v>52</v>
      </c>
      <c r="E151" t="s">
        <v>24</v>
      </c>
      <c r="F151" t="s">
        <v>13</v>
      </c>
      <c r="G151">
        <v>2</v>
      </c>
      <c r="H151">
        <v>3600</v>
      </c>
      <c r="I151">
        <v>0</v>
      </c>
      <c r="J151">
        <v>1260</v>
      </c>
    </row>
    <row r="152" spans="1:10" x14ac:dyDescent="0.3">
      <c r="A152">
        <v>10153</v>
      </c>
      <c r="B152" s="1">
        <v>45695</v>
      </c>
      <c r="C152" t="s">
        <v>120</v>
      </c>
      <c r="D152" t="s">
        <v>41</v>
      </c>
      <c r="E152" t="s">
        <v>27</v>
      </c>
      <c r="F152" t="s">
        <v>36</v>
      </c>
      <c r="G152">
        <v>1</v>
      </c>
      <c r="H152">
        <v>49500</v>
      </c>
      <c r="I152">
        <v>0.1</v>
      </c>
      <c r="J152">
        <v>4400</v>
      </c>
    </row>
    <row r="153" spans="1:10" x14ac:dyDescent="0.3">
      <c r="A153">
        <v>10154</v>
      </c>
      <c r="B153" s="1">
        <v>45893</v>
      </c>
      <c r="C153" t="s">
        <v>127</v>
      </c>
      <c r="D153" t="s">
        <v>41</v>
      </c>
      <c r="E153" t="s">
        <v>27</v>
      </c>
      <c r="F153" t="s">
        <v>13</v>
      </c>
      <c r="G153">
        <v>5</v>
      </c>
      <c r="H153">
        <v>220000</v>
      </c>
      <c r="I153">
        <v>0.2</v>
      </c>
      <c r="J153">
        <v>-5500</v>
      </c>
    </row>
    <row r="154" spans="1:10" x14ac:dyDescent="0.3">
      <c r="A154">
        <v>10155</v>
      </c>
      <c r="B154" s="1">
        <v>45733</v>
      </c>
      <c r="C154" t="s">
        <v>43</v>
      </c>
      <c r="D154" t="s">
        <v>52</v>
      </c>
      <c r="E154" t="s">
        <v>24</v>
      </c>
      <c r="F154" t="s">
        <v>13</v>
      </c>
      <c r="G154">
        <v>3</v>
      </c>
      <c r="H154">
        <v>4050</v>
      </c>
      <c r="I154">
        <v>0.25</v>
      </c>
      <c r="J154">
        <v>540</v>
      </c>
    </row>
    <row r="155" spans="1:10" x14ac:dyDescent="0.3">
      <c r="A155">
        <v>10156</v>
      </c>
      <c r="B155" s="1">
        <v>45985</v>
      </c>
      <c r="C155" t="s">
        <v>106</v>
      </c>
      <c r="D155" t="s">
        <v>52</v>
      </c>
      <c r="E155" t="s">
        <v>24</v>
      </c>
      <c r="F155" t="s">
        <v>13</v>
      </c>
      <c r="G155">
        <v>4</v>
      </c>
      <c r="H155">
        <v>5760</v>
      </c>
      <c r="I155">
        <v>0.2</v>
      </c>
      <c r="J155">
        <v>1080</v>
      </c>
    </row>
    <row r="156" spans="1:10" x14ac:dyDescent="0.3">
      <c r="A156">
        <v>10157</v>
      </c>
      <c r="B156" s="1">
        <v>45870</v>
      </c>
      <c r="C156" t="s">
        <v>128</v>
      </c>
      <c r="D156" t="s">
        <v>15</v>
      </c>
      <c r="E156" t="s">
        <v>16</v>
      </c>
      <c r="F156" t="s">
        <v>36</v>
      </c>
      <c r="G156">
        <v>4</v>
      </c>
      <c r="H156">
        <v>60000</v>
      </c>
      <c r="I156">
        <v>0</v>
      </c>
      <c r="J156">
        <v>16800</v>
      </c>
    </row>
    <row r="157" spans="1:10" x14ac:dyDescent="0.3">
      <c r="A157">
        <v>10158</v>
      </c>
      <c r="B157" s="1">
        <v>45699</v>
      </c>
      <c r="C157" t="s">
        <v>38</v>
      </c>
      <c r="D157" t="s">
        <v>34</v>
      </c>
      <c r="E157" t="s">
        <v>24</v>
      </c>
      <c r="F157" t="s">
        <v>21</v>
      </c>
      <c r="G157">
        <v>4</v>
      </c>
      <c r="H157">
        <v>8360</v>
      </c>
      <c r="I157">
        <v>0.05</v>
      </c>
      <c r="J157">
        <v>2640</v>
      </c>
    </row>
    <row r="158" spans="1:10" x14ac:dyDescent="0.3">
      <c r="A158">
        <v>10159</v>
      </c>
      <c r="B158" s="1">
        <v>46010</v>
      </c>
      <c r="C158" t="s">
        <v>129</v>
      </c>
      <c r="D158" t="s">
        <v>52</v>
      </c>
      <c r="E158" t="s">
        <v>24</v>
      </c>
      <c r="F158" t="s">
        <v>36</v>
      </c>
      <c r="G158">
        <v>3</v>
      </c>
      <c r="H158">
        <v>4860</v>
      </c>
      <c r="I158">
        <v>0.1</v>
      </c>
      <c r="J158">
        <v>1350</v>
      </c>
    </row>
    <row r="159" spans="1:10" x14ac:dyDescent="0.3">
      <c r="A159">
        <v>10160</v>
      </c>
      <c r="B159" s="1">
        <v>45966</v>
      </c>
      <c r="C159" t="s">
        <v>73</v>
      </c>
      <c r="D159" t="s">
        <v>41</v>
      </c>
      <c r="E159" t="s">
        <v>27</v>
      </c>
      <c r="F159" t="s">
        <v>18</v>
      </c>
      <c r="G159">
        <v>1</v>
      </c>
      <c r="H159">
        <v>52250</v>
      </c>
      <c r="I159">
        <v>0.05</v>
      </c>
      <c r="J159">
        <v>7150</v>
      </c>
    </row>
    <row r="160" spans="1:10" x14ac:dyDescent="0.3">
      <c r="A160">
        <v>10161</v>
      </c>
      <c r="B160" s="1">
        <v>45724</v>
      </c>
      <c r="C160" t="s">
        <v>75</v>
      </c>
      <c r="D160" t="s">
        <v>26</v>
      </c>
      <c r="E160" t="s">
        <v>27</v>
      </c>
      <c r="F160" t="s">
        <v>36</v>
      </c>
      <c r="G160">
        <v>3</v>
      </c>
      <c r="H160">
        <v>12150</v>
      </c>
      <c r="I160">
        <v>0.1</v>
      </c>
      <c r="J160">
        <v>1080</v>
      </c>
    </row>
    <row r="161" spans="1:10" x14ac:dyDescent="0.3">
      <c r="A161">
        <v>10162</v>
      </c>
      <c r="B161" s="1">
        <v>45672</v>
      </c>
      <c r="C161" t="s">
        <v>69</v>
      </c>
      <c r="D161" t="s">
        <v>52</v>
      </c>
      <c r="E161" t="s">
        <v>24</v>
      </c>
      <c r="F161" t="s">
        <v>13</v>
      </c>
      <c r="G161">
        <v>2</v>
      </c>
      <c r="H161">
        <v>3600</v>
      </c>
      <c r="I161">
        <v>0</v>
      </c>
      <c r="J161">
        <v>1260</v>
      </c>
    </row>
    <row r="162" spans="1:10" x14ac:dyDescent="0.3">
      <c r="A162">
        <v>10163</v>
      </c>
      <c r="B162" s="1">
        <v>45814</v>
      </c>
      <c r="C162" t="s">
        <v>113</v>
      </c>
      <c r="D162" t="s">
        <v>41</v>
      </c>
      <c r="E162" t="s">
        <v>27</v>
      </c>
      <c r="F162" t="s">
        <v>13</v>
      </c>
      <c r="G162">
        <v>4</v>
      </c>
      <c r="H162">
        <v>187000</v>
      </c>
      <c r="I162">
        <v>0.15</v>
      </c>
      <c r="J162">
        <v>6600</v>
      </c>
    </row>
    <row r="163" spans="1:10" x14ac:dyDescent="0.3">
      <c r="A163">
        <v>10164</v>
      </c>
      <c r="B163" s="1">
        <v>45946</v>
      </c>
      <c r="C163" t="s">
        <v>76</v>
      </c>
      <c r="D163" t="s">
        <v>41</v>
      </c>
      <c r="E163" t="s">
        <v>27</v>
      </c>
      <c r="F163" t="s">
        <v>21</v>
      </c>
      <c r="G163">
        <v>5</v>
      </c>
      <c r="H163">
        <v>261250</v>
      </c>
      <c r="I163">
        <v>0.05</v>
      </c>
      <c r="J163">
        <v>35750</v>
      </c>
    </row>
    <row r="164" spans="1:10" x14ac:dyDescent="0.3">
      <c r="A164">
        <v>10165</v>
      </c>
      <c r="B164" s="1">
        <v>46010</v>
      </c>
      <c r="C164" t="s">
        <v>130</v>
      </c>
      <c r="D164" t="s">
        <v>34</v>
      </c>
      <c r="E164" t="s">
        <v>24</v>
      </c>
      <c r="F164" t="s">
        <v>21</v>
      </c>
      <c r="G164">
        <v>5</v>
      </c>
      <c r="H164">
        <v>8800</v>
      </c>
      <c r="I164">
        <v>0.2</v>
      </c>
      <c r="J164">
        <v>1650</v>
      </c>
    </row>
    <row r="165" spans="1:10" x14ac:dyDescent="0.3">
      <c r="A165">
        <v>10166</v>
      </c>
      <c r="B165" s="1">
        <v>45841</v>
      </c>
      <c r="C165" t="s">
        <v>22</v>
      </c>
      <c r="D165" t="s">
        <v>17</v>
      </c>
      <c r="E165" t="s">
        <v>16</v>
      </c>
      <c r="F165" t="s">
        <v>13</v>
      </c>
      <c r="G165">
        <v>5</v>
      </c>
      <c r="H165">
        <v>60000</v>
      </c>
      <c r="I165">
        <v>0</v>
      </c>
      <c r="J165">
        <v>16800</v>
      </c>
    </row>
    <row r="166" spans="1:10" x14ac:dyDescent="0.3">
      <c r="A166">
        <v>10167</v>
      </c>
      <c r="B166" s="1">
        <v>45981</v>
      </c>
      <c r="C166" t="s">
        <v>131</v>
      </c>
      <c r="D166" t="s">
        <v>52</v>
      </c>
      <c r="E166" t="s">
        <v>24</v>
      </c>
      <c r="F166" t="s">
        <v>13</v>
      </c>
      <c r="G166">
        <v>5</v>
      </c>
      <c r="H166">
        <v>8100</v>
      </c>
      <c r="I166">
        <v>0.1</v>
      </c>
      <c r="J166">
        <v>2250</v>
      </c>
    </row>
    <row r="167" spans="1:10" x14ac:dyDescent="0.3">
      <c r="A167">
        <v>10168</v>
      </c>
      <c r="B167" s="1">
        <v>45900</v>
      </c>
      <c r="C167" t="s">
        <v>46</v>
      </c>
      <c r="D167" t="s">
        <v>30</v>
      </c>
      <c r="E167" t="s">
        <v>27</v>
      </c>
      <c r="F167" t="s">
        <v>21</v>
      </c>
      <c r="G167">
        <v>3</v>
      </c>
      <c r="H167">
        <v>81000</v>
      </c>
      <c r="I167">
        <v>0.1</v>
      </c>
      <c r="J167">
        <v>7200</v>
      </c>
    </row>
    <row r="168" spans="1:10" x14ac:dyDescent="0.3">
      <c r="A168">
        <v>10169</v>
      </c>
      <c r="B168" s="1">
        <v>45987</v>
      </c>
      <c r="C168" t="s">
        <v>73</v>
      </c>
      <c r="D168" t="s">
        <v>15</v>
      </c>
      <c r="E168" t="s">
        <v>16</v>
      </c>
      <c r="F168" t="s">
        <v>21</v>
      </c>
      <c r="G168">
        <v>4</v>
      </c>
      <c r="H168">
        <v>57000</v>
      </c>
      <c r="I168">
        <v>0.05</v>
      </c>
      <c r="J168">
        <v>13800</v>
      </c>
    </row>
    <row r="169" spans="1:10" x14ac:dyDescent="0.3">
      <c r="A169">
        <v>10170</v>
      </c>
      <c r="B169" s="1">
        <v>45875</v>
      </c>
      <c r="C169" t="s">
        <v>100</v>
      </c>
      <c r="D169" t="s">
        <v>20</v>
      </c>
      <c r="E169" t="s">
        <v>12</v>
      </c>
      <c r="F169" t="s">
        <v>18</v>
      </c>
      <c r="G169">
        <v>2</v>
      </c>
      <c r="H169">
        <v>375</v>
      </c>
      <c r="I169">
        <v>0.25</v>
      </c>
      <c r="J169">
        <v>100</v>
      </c>
    </row>
    <row r="170" spans="1:10" x14ac:dyDescent="0.3">
      <c r="A170">
        <v>10171</v>
      </c>
      <c r="B170" s="1">
        <v>45761</v>
      </c>
      <c r="C170" t="s">
        <v>61</v>
      </c>
      <c r="D170" t="s">
        <v>30</v>
      </c>
      <c r="E170" t="s">
        <v>27</v>
      </c>
      <c r="F170" t="s">
        <v>36</v>
      </c>
      <c r="G170">
        <v>1</v>
      </c>
      <c r="H170">
        <v>28500</v>
      </c>
      <c r="I170">
        <v>0.05</v>
      </c>
      <c r="J170">
        <v>3900</v>
      </c>
    </row>
    <row r="171" spans="1:10" x14ac:dyDescent="0.3">
      <c r="A171">
        <v>10172</v>
      </c>
      <c r="B171" s="1">
        <v>45950</v>
      </c>
      <c r="C171" t="s">
        <v>10</v>
      </c>
      <c r="D171" t="s">
        <v>17</v>
      </c>
      <c r="E171" t="s">
        <v>16</v>
      </c>
      <c r="F171" t="s">
        <v>36</v>
      </c>
      <c r="G171">
        <v>4</v>
      </c>
      <c r="H171">
        <v>40800</v>
      </c>
      <c r="I171">
        <v>0.15</v>
      </c>
      <c r="J171">
        <v>6240</v>
      </c>
    </row>
    <row r="172" spans="1:10" x14ac:dyDescent="0.3">
      <c r="A172">
        <v>10173</v>
      </c>
      <c r="B172" s="1">
        <v>45708</v>
      </c>
      <c r="C172" t="s">
        <v>132</v>
      </c>
      <c r="D172" t="s">
        <v>34</v>
      </c>
      <c r="E172" t="s">
        <v>24</v>
      </c>
      <c r="F172" t="s">
        <v>21</v>
      </c>
      <c r="G172">
        <v>1</v>
      </c>
      <c r="H172">
        <v>1980</v>
      </c>
      <c r="I172">
        <v>0.1</v>
      </c>
      <c r="J172">
        <v>550</v>
      </c>
    </row>
    <row r="173" spans="1:10" x14ac:dyDescent="0.3">
      <c r="A173">
        <v>10174</v>
      </c>
      <c r="B173" s="1">
        <v>45914</v>
      </c>
      <c r="C173" t="s">
        <v>71</v>
      </c>
      <c r="D173" t="s">
        <v>52</v>
      </c>
      <c r="E173" t="s">
        <v>24</v>
      </c>
      <c r="F173" t="s">
        <v>13</v>
      </c>
      <c r="G173">
        <v>1</v>
      </c>
      <c r="H173">
        <v>1440</v>
      </c>
      <c r="I173">
        <v>0.2</v>
      </c>
      <c r="J173">
        <v>270</v>
      </c>
    </row>
    <row r="174" spans="1:10" x14ac:dyDescent="0.3">
      <c r="A174">
        <v>10175</v>
      </c>
      <c r="B174" s="1">
        <v>45839</v>
      </c>
      <c r="C174" t="s">
        <v>133</v>
      </c>
      <c r="D174" t="s">
        <v>15</v>
      </c>
      <c r="E174" t="s">
        <v>16</v>
      </c>
      <c r="F174" t="s">
        <v>13</v>
      </c>
      <c r="G174">
        <v>2</v>
      </c>
      <c r="H174">
        <v>24000</v>
      </c>
      <c r="I174">
        <v>0.2</v>
      </c>
      <c r="J174">
        <v>2400</v>
      </c>
    </row>
    <row r="175" spans="1:10" x14ac:dyDescent="0.3">
      <c r="A175">
        <v>10176</v>
      </c>
      <c r="B175" s="1">
        <v>45806</v>
      </c>
      <c r="C175" t="s">
        <v>134</v>
      </c>
      <c r="D175" t="s">
        <v>20</v>
      </c>
      <c r="E175" t="s">
        <v>12</v>
      </c>
      <c r="F175" t="s">
        <v>13</v>
      </c>
      <c r="G175">
        <v>3</v>
      </c>
      <c r="H175">
        <v>675</v>
      </c>
      <c r="I175">
        <v>0.1</v>
      </c>
      <c r="J175">
        <v>262.5</v>
      </c>
    </row>
    <row r="176" spans="1:10" x14ac:dyDescent="0.3">
      <c r="A176">
        <v>10177</v>
      </c>
      <c r="B176" s="1">
        <v>45811</v>
      </c>
      <c r="C176" t="s">
        <v>43</v>
      </c>
      <c r="D176" t="s">
        <v>34</v>
      </c>
      <c r="E176" t="s">
        <v>24</v>
      </c>
      <c r="F176" t="s">
        <v>36</v>
      </c>
      <c r="G176">
        <v>4</v>
      </c>
      <c r="H176">
        <v>7480</v>
      </c>
      <c r="I176">
        <v>0.15</v>
      </c>
      <c r="J176">
        <v>1760</v>
      </c>
    </row>
    <row r="177" spans="1:10" x14ac:dyDescent="0.3">
      <c r="A177">
        <v>10178</v>
      </c>
      <c r="B177" s="1">
        <v>45951</v>
      </c>
      <c r="C177" t="s">
        <v>29</v>
      </c>
      <c r="D177" t="s">
        <v>17</v>
      </c>
      <c r="E177" t="s">
        <v>16</v>
      </c>
      <c r="F177" t="s">
        <v>36</v>
      </c>
      <c r="G177">
        <v>1</v>
      </c>
      <c r="H177">
        <v>9600</v>
      </c>
      <c r="I177">
        <v>0.2</v>
      </c>
      <c r="J177">
        <v>960</v>
      </c>
    </row>
    <row r="178" spans="1:10" x14ac:dyDescent="0.3">
      <c r="A178">
        <v>10179</v>
      </c>
      <c r="B178" s="1">
        <v>45674</v>
      </c>
      <c r="C178" t="s">
        <v>135</v>
      </c>
      <c r="D178" t="s">
        <v>30</v>
      </c>
      <c r="E178" t="s">
        <v>27</v>
      </c>
      <c r="F178" t="s">
        <v>36</v>
      </c>
      <c r="G178">
        <v>3</v>
      </c>
      <c r="H178">
        <v>76500</v>
      </c>
      <c r="I178">
        <v>0.15</v>
      </c>
      <c r="J178">
        <v>2700</v>
      </c>
    </row>
    <row r="179" spans="1:10" x14ac:dyDescent="0.3">
      <c r="A179">
        <v>10180</v>
      </c>
      <c r="B179" s="1">
        <v>45855</v>
      </c>
      <c r="C179" t="s">
        <v>14</v>
      </c>
      <c r="D179" t="s">
        <v>26</v>
      </c>
      <c r="E179" t="s">
        <v>27</v>
      </c>
      <c r="F179" t="s">
        <v>13</v>
      </c>
      <c r="G179">
        <v>1</v>
      </c>
      <c r="H179">
        <v>4050</v>
      </c>
      <c r="I179">
        <v>0.1</v>
      </c>
      <c r="J179">
        <v>360</v>
      </c>
    </row>
    <row r="180" spans="1:10" x14ac:dyDescent="0.3">
      <c r="A180">
        <v>10181</v>
      </c>
      <c r="B180" s="1">
        <v>45807</v>
      </c>
      <c r="C180" t="s">
        <v>136</v>
      </c>
      <c r="D180" t="s">
        <v>41</v>
      </c>
      <c r="E180" t="s">
        <v>27</v>
      </c>
      <c r="F180" t="s">
        <v>13</v>
      </c>
      <c r="G180">
        <v>5</v>
      </c>
      <c r="H180">
        <v>247500</v>
      </c>
      <c r="I180">
        <v>0.1</v>
      </c>
      <c r="J180">
        <v>22000</v>
      </c>
    </row>
    <row r="181" spans="1:10" x14ac:dyDescent="0.3">
      <c r="A181">
        <v>10182</v>
      </c>
      <c r="B181" s="1">
        <v>45834</v>
      </c>
      <c r="C181" t="s">
        <v>58</v>
      </c>
      <c r="D181" t="s">
        <v>41</v>
      </c>
      <c r="E181" t="s">
        <v>27</v>
      </c>
      <c r="F181" t="s">
        <v>21</v>
      </c>
      <c r="G181">
        <v>1</v>
      </c>
      <c r="H181">
        <v>41250</v>
      </c>
      <c r="I181">
        <v>0.25</v>
      </c>
      <c r="J181">
        <v>-3850</v>
      </c>
    </row>
    <row r="182" spans="1:10" x14ac:dyDescent="0.3">
      <c r="A182">
        <v>10183</v>
      </c>
      <c r="B182" s="1">
        <v>46017</v>
      </c>
      <c r="C182" t="s">
        <v>137</v>
      </c>
      <c r="D182" t="s">
        <v>20</v>
      </c>
      <c r="E182" t="s">
        <v>12</v>
      </c>
      <c r="F182" t="s">
        <v>36</v>
      </c>
      <c r="G182">
        <v>4</v>
      </c>
      <c r="H182">
        <v>900</v>
      </c>
      <c r="I182">
        <v>0.1</v>
      </c>
      <c r="J182">
        <v>350</v>
      </c>
    </row>
    <row r="183" spans="1:10" x14ac:dyDescent="0.3">
      <c r="A183">
        <v>10184</v>
      </c>
      <c r="B183" s="1">
        <v>45868</v>
      </c>
      <c r="C183" t="s">
        <v>80</v>
      </c>
      <c r="D183" t="s">
        <v>41</v>
      </c>
      <c r="E183" t="s">
        <v>27</v>
      </c>
      <c r="F183" t="s">
        <v>18</v>
      </c>
      <c r="G183">
        <v>5</v>
      </c>
      <c r="H183">
        <v>261250</v>
      </c>
      <c r="I183">
        <v>0.05</v>
      </c>
      <c r="J183">
        <v>35750</v>
      </c>
    </row>
    <row r="184" spans="1:10" x14ac:dyDescent="0.3">
      <c r="A184">
        <v>10185</v>
      </c>
      <c r="B184" s="1">
        <v>45801</v>
      </c>
      <c r="C184" t="s">
        <v>93</v>
      </c>
      <c r="D184" t="s">
        <v>41</v>
      </c>
      <c r="E184" t="s">
        <v>27</v>
      </c>
      <c r="F184" t="s">
        <v>21</v>
      </c>
      <c r="G184">
        <v>5</v>
      </c>
      <c r="H184">
        <v>261250</v>
      </c>
      <c r="I184">
        <v>0.05</v>
      </c>
      <c r="J184">
        <v>35750</v>
      </c>
    </row>
    <row r="185" spans="1:10" x14ac:dyDescent="0.3">
      <c r="A185">
        <v>10186</v>
      </c>
      <c r="B185" s="1">
        <v>45851</v>
      </c>
      <c r="C185" t="s">
        <v>53</v>
      </c>
      <c r="D185" t="s">
        <v>41</v>
      </c>
      <c r="E185" t="s">
        <v>27</v>
      </c>
      <c r="F185" t="s">
        <v>21</v>
      </c>
      <c r="G185">
        <v>3</v>
      </c>
      <c r="H185">
        <v>148500</v>
      </c>
      <c r="I185">
        <v>0.1</v>
      </c>
      <c r="J185">
        <v>13200</v>
      </c>
    </row>
    <row r="186" spans="1:10" x14ac:dyDescent="0.3">
      <c r="A186">
        <v>10187</v>
      </c>
      <c r="B186" s="1">
        <v>45921</v>
      </c>
      <c r="C186" t="s">
        <v>138</v>
      </c>
      <c r="D186" t="s">
        <v>20</v>
      </c>
      <c r="E186" t="s">
        <v>12</v>
      </c>
      <c r="F186" t="s">
        <v>36</v>
      </c>
      <c r="G186">
        <v>3</v>
      </c>
      <c r="H186">
        <v>750</v>
      </c>
      <c r="I186">
        <v>0</v>
      </c>
      <c r="J186">
        <v>337.5</v>
      </c>
    </row>
    <row r="187" spans="1:10" x14ac:dyDescent="0.3">
      <c r="A187">
        <v>10188</v>
      </c>
      <c r="B187" s="1">
        <v>45819</v>
      </c>
      <c r="C187" t="s">
        <v>37</v>
      </c>
      <c r="D187" t="s">
        <v>26</v>
      </c>
      <c r="E187" t="s">
        <v>27</v>
      </c>
      <c r="F187" t="s">
        <v>13</v>
      </c>
      <c r="G187">
        <v>2</v>
      </c>
      <c r="H187">
        <v>8550</v>
      </c>
      <c r="I187">
        <v>0.05</v>
      </c>
      <c r="J187">
        <v>1170</v>
      </c>
    </row>
    <row r="188" spans="1:10" x14ac:dyDescent="0.3">
      <c r="A188">
        <v>10189</v>
      </c>
      <c r="B188" s="1">
        <v>46006</v>
      </c>
      <c r="C188" t="s">
        <v>139</v>
      </c>
      <c r="D188" t="s">
        <v>11</v>
      </c>
      <c r="E188" t="s">
        <v>12</v>
      </c>
      <c r="F188" t="s">
        <v>13</v>
      </c>
      <c r="G188">
        <v>4</v>
      </c>
      <c r="H188">
        <v>576</v>
      </c>
      <c r="I188">
        <v>0.2</v>
      </c>
      <c r="J188">
        <v>180</v>
      </c>
    </row>
    <row r="189" spans="1:10" x14ac:dyDescent="0.3">
      <c r="A189">
        <v>10190</v>
      </c>
      <c r="B189" s="1">
        <v>45912</v>
      </c>
      <c r="C189" t="s">
        <v>10</v>
      </c>
      <c r="D189" t="s">
        <v>23</v>
      </c>
      <c r="E189" t="s">
        <v>24</v>
      </c>
      <c r="F189" t="s">
        <v>21</v>
      </c>
      <c r="G189">
        <v>3</v>
      </c>
      <c r="H189">
        <v>3420</v>
      </c>
      <c r="I189">
        <v>0.05</v>
      </c>
      <c r="J189">
        <v>1080</v>
      </c>
    </row>
    <row r="190" spans="1:10" x14ac:dyDescent="0.3">
      <c r="A190">
        <v>10191</v>
      </c>
      <c r="B190" s="1">
        <v>45754</v>
      </c>
      <c r="C190" t="s">
        <v>79</v>
      </c>
      <c r="D190" t="s">
        <v>23</v>
      </c>
      <c r="E190" t="s">
        <v>24</v>
      </c>
      <c r="F190" t="s">
        <v>36</v>
      </c>
      <c r="G190">
        <v>5</v>
      </c>
      <c r="H190">
        <v>6000</v>
      </c>
      <c r="I190">
        <v>0</v>
      </c>
      <c r="J190">
        <v>2100</v>
      </c>
    </row>
    <row r="191" spans="1:10" x14ac:dyDescent="0.3">
      <c r="A191">
        <v>10192</v>
      </c>
      <c r="B191" s="1">
        <v>45745</v>
      </c>
      <c r="C191" t="s">
        <v>127</v>
      </c>
      <c r="D191" t="s">
        <v>52</v>
      </c>
      <c r="E191" t="s">
        <v>24</v>
      </c>
      <c r="F191" t="s">
        <v>18</v>
      </c>
      <c r="G191">
        <v>2</v>
      </c>
      <c r="H191">
        <v>3060</v>
      </c>
      <c r="I191">
        <v>0.15</v>
      </c>
      <c r="J191">
        <v>720</v>
      </c>
    </row>
    <row r="192" spans="1:10" x14ac:dyDescent="0.3">
      <c r="A192">
        <v>10193</v>
      </c>
      <c r="B192" s="1">
        <v>45822</v>
      </c>
      <c r="C192" t="s">
        <v>66</v>
      </c>
      <c r="D192" t="s">
        <v>52</v>
      </c>
      <c r="E192" t="s">
        <v>24</v>
      </c>
      <c r="F192" t="s">
        <v>36</v>
      </c>
      <c r="G192">
        <v>3</v>
      </c>
      <c r="H192">
        <v>4050</v>
      </c>
      <c r="I192">
        <v>0.25</v>
      </c>
      <c r="J192">
        <v>540</v>
      </c>
    </row>
    <row r="193" spans="1:10" x14ac:dyDescent="0.3">
      <c r="A193">
        <v>10194</v>
      </c>
      <c r="B193" s="1">
        <v>45920</v>
      </c>
      <c r="C193" t="s">
        <v>112</v>
      </c>
      <c r="D193" t="s">
        <v>11</v>
      </c>
      <c r="E193" t="s">
        <v>12</v>
      </c>
      <c r="F193" t="s">
        <v>36</v>
      </c>
      <c r="G193">
        <v>2</v>
      </c>
      <c r="H193">
        <v>360</v>
      </c>
      <c r="I193">
        <v>0</v>
      </c>
      <c r="J193">
        <v>162</v>
      </c>
    </row>
    <row r="194" spans="1:10" x14ac:dyDescent="0.3">
      <c r="A194">
        <v>10195</v>
      </c>
      <c r="B194" s="1">
        <v>45739</v>
      </c>
      <c r="C194" t="s">
        <v>140</v>
      </c>
      <c r="D194" t="s">
        <v>26</v>
      </c>
      <c r="E194" t="s">
        <v>27</v>
      </c>
      <c r="F194" t="s">
        <v>13</v>
      </c>
      <c r="G194">
        <v>4</v>
      </c>
      <c r="H194">
        <v>16200</v>
      </c>
      <c r="I194">
        <v>0.1</v>
      </c>
      <c r="J194">
        <v>1440</v>
      </c>
    </row>
    <row r="195" spans="1:10" x14ac:dyDescent="0.3">
      <c r="A195">
        <v>10196</v>
      </c>
      <c r="B195" s="1">
        <v>45852</v>
      </c>
      <c r="C195" t="s">
        <v>141</v>
      </c>
      <c r="D195" t="s">
        <v>15</v>
      </c>
      <c r="E195" t="s">
        <v>16</v>
      </c>
      <c r="F195" t="s">
        <v>18</v>
      </c>
      <c r="G195">
        <v>4</v>
      </c>
      <c r="H195">
        <v>57000</v>
      </c>
      <c r="I195">
        <v>0.05</v>
      </c>
      <c r="J195">
        <v>13800</v>
      </c>
    </row>
    <row r="196" spans="1:10" x14ac:dyDescent="0.3">
      <c r="A196">
        <v>10197</v>
      </c>
      <c r="B196" s="1">
        <v>45913</v>
      </c>
      <c r="C196" t="s">
        <v>142</v>
      </c>
      <c r="D196" t="s">
        <v>17</v>
      </c>
      <c r="E196" t="s">
        <v>16</v>
      </c>
      <c r="F196" t="s">
        <v>21</v>
      </c>
      <c r="G196">
        <v>5</v>
      </c>
      <c r="H196">
        <v>57000</v>
      </c>
      <c r="I196">
        <v>0.05</v>
      </c>
      <c r="J196">
        <v>13800</v>
      </c>
    </row>
    <row r="197" spans="1:10" x14ac:dyDescent="0.3">
      <c r="A197">
        <v>10198</v>
      </c>
      <c r="B197" s="1">
        <v>45999</v>
      </c>
      <c r="C197" t="s">
        <v>48</v>
      </c>
      <c r="D197" t="s">
        <v>15</v>
      </c>
      <c r="E197" t="s">
        <v>16</v>
      </c>
      <c r="F197" t="s">
        <v>18</v>
      </c>
      <c r="G197">
        <v>4</v>
      </c>
      <c r="H197">
        <v>57000</v>
      </c>
      <c r="I197">
        <v>0.05</v>
      </c>
      <c r="J197">
        <v>13800</v>
      </c>
    </row>
    <row r="198" spans="1:10" x14ac:dyDescent="0.3">
      <c r="A198">
        <v>10199</v>
      </c>
      <c r="B198" s="1">
        <v>45716</v>
      </c>
      <c r="C198" t="s">
        <v>135</v>
      </c>
      <c r="D198" t="s">
        <v>41</v>
      </c>
      <c r="E198" t="s">
        <v>27</v>
      </c>
      <c r="F198" t="s">
        <v>18</v>
      </c>
      <c r="G198">
        <v>2</v>
      </c>
      <c r="H198">
        <v>99000</v>
      </c>
      <c r="I198">
        <v>0.1</v>
      </c>
      <c r="J198">
        <v>8800</v>
      </c>
    </row>
    <row r="199" spans="1:10" x14ac:dyDescent="0.3">
      <c r="A199">
        <v>10200</v>
      </c>
      <c r="B199" s="1">
        <v>45671</v>
      </c>
      <c r="C199" t="s">
        <v>94</v>
      </c>
      <c r="D199" t="s">
        <v>41</v>
      </c>
      <c r="E199" t="s">
        <v>27</v>
      </c>
      <c r="F199" t="s">
        <v>18</v>
      </c>
      <c r="G199">
        <v>2</v>
      </c>
      <c r="H199">
        <v>110000</v>
      </c>
      <c r="I199">
        <v>0</v>
      </c>
      <c r="J199">
        <v>19800</v>
      </c>
    </row>
    <row r="200" spans="1:10" x14ac:dyDescent="0.3">
      <c r="A200">
        <v>10201</v>
      </c>
      <c r="B200" s="1">
        <v>45858</v>
      </c>
      <c r="C200" t="s">
        <v>143</v>
      </c>
      <c r="D200" t="s">
        <v>30</v>
      </c>
      <c r="E200" t="s">
        <v>27</v>
      </c>
      <c r="F200" t="s">
        <v>36</v>
      </c>
      <c r="G200">
        <v>5</v>
      </c>
      <c r="H200">
        <v>135000</v>
      </c>
      <c r="I200">
        <v>0.1</v>
      </c>
      <c r="J200">
        <v>12000</v>
      </c>
    </row>
    <row r="201" spans="1:10" x14ac:dyDescent="0.3">
      <c r="A201">
        <v>10202</v>
      </c>
      <c r="C201" t="s">
        <v>107</v>
      </c>
      <c r="D201" t="s">
        <v>17</v>
      </c>
      <c r="E201" t="s">
        <v>16</v>
      </c>
      <c r="F201" t="s">
        <v>36</v>
      </c>
      <c r="G201">
        <v>2</v>
      </c>
      <c r="H201">
        <v>21600</v>
      </c>
      <c r="I201">
        <v>0.1</v>
      </c>
      <c r="J201">
        <v>4320</v>
      </c>
    </row>
    <row r="202" spans="1:10" x14ac:dyDescent="0.3">
      <c r="A202">
        <v>10203</v>
      </c>
      <c r="B202" s="1">
        <v>45785</v>
      </c>
      <c r="C202" t="s">
        <v>112</v>
      </c>
      <c r="D202" t="s">
        <v>15</v>
      </c>
      <c r="E202" t="s">
        <v>16</v>
      </c>
      <c r="F202" t="s">
        <v>21</v>
      </c>
      <c r="G202">
        <v>3</v>
      </c>
      <c r="H202">
        <v>38250</v>
      </c>
      <c r="I202">
        <v>0.15</v>
      </c>
      <c r="J202">
        <v>5850</v>
      </c>
    </row>
    <row r="203" spans="1:10" x14ac:dyDescent="0.3">
      <c r="A203">
        <v>10204</v>
      </c>
      <c r="B203" s="1">
        <v>45674</v>
      </c>
      <c r="C203" t="s">
        <v>81</v>
      </c>
      <c r="D203" t="s">
        <v>17</v>
      </c>
      <c r="E203" t="s">
        <v>16</v>
      </c>
      <c r="F203" t="s">
        <v>18</v>
      </c>
      <c r="G203">
        <v>1</v>
      </c>
      <c r="H203">
        <v>11400</v>
      </c>
      <c r="I203">
        <v>0.05</v>
      </c>
      <c r="J203">
        <v>2760</v>
      </c>
    </row>
    <row r="204" spans="1:10" x14ac:dyDescent="0.3">
      <c r="A204">
        <v>10205</v>
      </c>
      <c r="B204" s="1">
        <v>45684</v>
      </c>
      <c r="C204" t="s">
        <v>133</v>
      </c>
      <c r="D204" t="s">
        <v>11</v>
      </c>
      <c r="E204" t="s">
        <v>12</v>
      </c>
      <c r="F204" t="s">
        <v>36</v>
      </c>
      <c r="G204">
        <v>5</v>
      </c>
      <c r="H204">
        <v>900</v>
      </c>
      <c r="I204">
        <v>0</v>
      </c>
      <c r="J204">
        <v>405</v>
      </c>
    </row>
    <row r="205" spans="1:10" x14ac:dyDescent="0.3">
      <c r="A205">
        <v>10206</v>
      </c>
      <c r="B205" s="1">
        <v>45925</v>
      </c>
      <c r="C205" t="s">
        <v>134</v>
      </c>
      <c r="D205" t="s">
        <v>20</v>
      </c>
      <c r="E205" t="s">
        <v>12</v>
      </c>
      <c r="F205" t="s">
        <v>36</v>
      </c>
      <c r="G205">
        <v>3</v>
      </c>
      <c r="H205">
        <v>675</v>
      </c>
      <c r="I205">
        <v>0.1</v>
      </c>
      <c r="J205">
        <v>262.5</v>
      </c>
    </row>
    <row r="206" spans="1:10" x14ac:dyDescent="0.3">
      <c r="A206">
        <v>10207</v>
      </c>
      <c r="B206" s="1">
        <v>45847</v>
      </c>
      <c r="C206" t="s">
        <v>81</v>
      </c>
      <c r="D206" t="s">
        <v>34</v>
      </c>
      <c r="E206" t="s">
        <v>24</v>
      </c>
      <c r="F206" t="s">
        <v>21</v>
      </c>
      <c r="G206">
        <v>5</v>
      </c>
      <c r="H206">
        <v>8800</v>
      </c>
      <c r="I206">
        <v>0.2</v>
      </c>
      <c r="J206">
        <v>1650</v>
      </c>
    </row>
    <row r="207" spans="1:10" x14ac:dyDescent="0.3">
      <c r="A207">
        <v>10208</v>
      </c>
      <c r="B207" s="1">
        <v>45850</v>
      </c>
      <c r="C207" t="s">
        <v>51</v>
      </c>
      <c r="D207" t="s">
        <v>30</v>
      </c>
      <c r="E207" t="s">
        <v>27</v>
      </c>
      <c r="F207" t="s">
        <v>13</v>
      </c>
      <c r="G207">
        <v>4</v>
      </c>
      <c r="H207">
        <v>90000</v>
      </c>
      <c r="I207">
        <v>0.25</v>
      </c>
      <c r="J207">
        <v>-8400</v>
      </c>
    </row>
    <row r="208" spans="1:10" x14ac:dyDescent="0.3">
      <c r="A208">
        <v>10209</v>
      </c>
      <c r="B208" s="1">
        <v>45806</v>
      </c>
      <c r="C208" t="s">
        <v>106</v>
      </c>
      <c r="D208" t="s">
        <v>17</v>
      </c>
      <c r="E208" t="s">
        <v>16</v>
      </c>
      <c r="F208" t="s">
        <v>18</v>
      </c>
      <c r="G208">
        <v>3</v>
      </c>
      <c r="H208">
        <v>34200</v>
      </c>
      <c r="I208">
        <v>0.05</v>
      </c>
      <c r="J208">
        <v>8280</v>
      </c>
    </row>
    <row r="209" spans="1:10" x14ac:dyDescent="0.3">
      <c r="A209">
        <v>10210</v>
      </c>
      <c r="B209" s="1">
        <v>45889</v>
      </c>
      <c r="C209" t="s">
        <v>65</v>
      </c>
      <c r="D209" t="s">
        <v>17</v>
      </c>
      <c r="E209" t="s">
        <v>16</v>
      </c>
      <c r="F209" t="s">
        <v>21</v>
      </c>
      <c r="G209">
        <v>1</v>
      </c>
      <c r="H209">
        <v>10200</v>
      </c>
      <c r="I209">
        <v>0.15</v>
      </c>
      <c r="J209">
        <v>1560</v>
      </c>
    </row>
    <row r="210" spans="1:10" x14ac:dyDescent="0.3">
      <c r="A210">
        <v>10211</v>
      </c>
      <c r="B210" s="1">
        <v>45907</v>
      </c>
      <c r="C210" t="s">
        <v>46</v>
      </c>
      <c r="D210" t="s">
        <v>11</v>
      </c>
      <c r="E210" t="s">
        <v>12</v>
      </c>
      <c r="F210" t="s">
        <v>36</v>
      </c>
      <c r="G210">
        <v>5</v>
      </c>
      <c r="H210">
        <v>810</v>
      </c>
      <c r="I210">
        <v>0.1</v>
      </c>
      <c r="J210">
        <v>315</v>
      </c>
    </row>
    <row r="211" spans="1:10" x14ac:dyDescent="0.3">
      <c r="A211">
        <v>10212</v>
      </c>
      <c r="B211" s="1">
        <v>45994</v>
      </c>
      <c r="C211" t="s">
        <v>105</v>
      </c>
      <c r="D211" t="s">
        <v>17</v>
      </c>
      <c r="E211" t="s">
        <v>16</v>
      </c>
      <c r="F211" t="s">
        <v>36</v>
      </c>
      <c r="G211">
        <v>3</v>
      </c>
      <c r="H211">
        <v>32400</v>
      </c>
      <c r="I211">
        <v>0.1</v>
      </c>
      <c r="J211">
        <v>6480</v>
      </c>
    </row>
    <row r="212" spans="1:10" x14ac:dyDescent="0.3">
      <c r="A212">
        <v>10213</v>
      </c>
      <c r="B212" s="1">
        <v>45730</v>
      </c>
      <c r="C212" t="s">
        <v>144</v>
      </c>
      <c r="D212" t="s">
        <v>30</v>
      </c>
      <c r="E212" t="s">
        <v>27</v>
      </c>
      <c r="F212" t="s">
        <v>13</v>
      </c>
      <c r="G212">
        <v>1</v>
      </c>
      <c r="H212">
        <v>25500</v>
      </c>
      <c r="I212">
        <v>0.15</v>
      </c>
      <c r="J212">
        <v>900</v>
      </c>
    </row>
    <row r="213" spans="1:10" x14ac:dyDescent="0.3">
      <c r="A213">
        <v>10214</v>
      </c>
      <c r="B213" s="1">
        <v>45761</v>
      </c>
      <c r="C213" t="s">
        <v>60</v>
      </c>
      <c r="D213" t="s">
        <v>41</v>
      </c>
      <c r="E213" t="s">
        <v>27</v>
      </c>
      <c r="F213" t="s">
        <v>13</v>
      </c>
      <c r="G213">
        <v>1</v>
      </c>
      <c r="H213">
        <v>46750</v>
      </c>
      <c r="I213">
        <v>0.15</v>
      </c>
      <c r="J213">
        <v>1650</v>
      </c>
    </row>
    <row r="214" spans="1:10" x14ac:dyDescent="0.3">
      <c r="A214">
        <v>10215</v>
      </c>
      <c r="B214" s="1">
        <v>45886</v>
      </c>
      <c r="C214" t="s">
        <v>48</v>
      </c>
      <c r="D214" t="s">
        <v>11</v>
      </c>
      <c r="E214" t="s">
        <v>12</v>
      </c>
      <c r="F214" t="s">
        <v>18</v>
      </c>
      <c r="G214">
        <v>3</v>
      </c>
      <c r="H214">
        <v>459</v>
      </c>
      <c r="I214">
        <v>0.15</v>
      </c>
      <c r="J214">
        <v>162</v>
      </c>
    </row>
    <row r="215" spans="1:10" x14ac:dyDescent="0.3">
      <c r="A215">
        <v>10216</v>
      </c>
      <c r="B215" s="1">
        <v>45758</v>
      </c>
      <c r="C215" t="s">
        <v>33</v>
      </c>
      <c r="D215" t="s">
        <v>26</v>
      </c>
      <c r="E215" t="s">
        <v>27</v>
      </c>
      <c r="F215" t="s">
        <v>36</v>
      </c>
      <c r="G215">
        <v>2</v>
      </c>
      <c r="H215">
        <v>9000</v>
      </c>
      <c r="I215">
        <v>0</v>
      </c>
      <c r="J215">
        <v>1620</v>
      </c>
    </row>
    <row r="216" spans="1:10" x14ac:dyDescent="0.3">
      <c r="A216">
        <v>10217</v>
      </c>
      <c r="B216" s="1">
        <v>45714</v>
      </c>
      <c r="C216" t="s">
        <v>138</v>
      </c>
      <c r="D216" t="s">
        <v>41</v>
      </c>
      <c r="E216" t="s">
        <v>27</v>
      </c>
      <c r="F216" t="s">
        <v>13</v>
      </c>
      <c r="G216">
        <v>5</v>
      </c>
      <c r="H216">
        <v>233750</v>
      </c>
      <c r="I216">
        <v>0.15</v>
      </c>
      <c r="J216">
        <v>8250</v>
      </c>
    </row>
    <row r="217" spans="1:10" x14ac:dyDescent="0.3">
      <c r="A217">
        <v>10218</v>
      </c>
      <c r="B217" s="1">
        <v>45806</v>
      </c>
      <c r="C217" t="s">
        <v>31</v>
      </c>
      <c r="D217" t="s">
        <v>52</v>
      </c>
      <c r="E217" t="s">
        <v>24</v>
      </c>
      <c r="F217" t="s">
        <v>36</v>
      </c>
      <c r="G217">
        <v>3</v>
      </c>
      <c r="H217">
        <v>4590</v>
      </c>
      <c r="I217">
        <v>0.15</v>
      </c>
      <c r="J217">
        <v>1080</v>
      </c>
    </row>
    <row r="218" spans="1:10" x14ac:dyDescent="0.3">
      <c r="A218">
        <v>10219</v>
      </c>
      <c r="B218" s="1">
        <v>45925</v>
      </c>
      <c r="C218" t="s">
        <v>145</v>
      </c>
      <c r="D218" t="s">
        <v>15</v>
      </c>
      <c r="E218" t="s">
        <v>16</v>
      </c>
      <c r="F218" t="s">
        <v>36</v>
      </c>
      <c r="G218">
        <v>1</v>
      </c>
      <c r="H218">
        <v>12000</v>
      </c>
      <c r="I218">
        <v>0.2</v>
      </c>
      <c r="J218">
        <v>1200</v>
      </c>
    </row>
    <row r="219" spans="1:10" x14ac:dyDescent="0.3">
      <c r="A219">
        <v>10220</v>
      </c>
      <c r="B219" s="1">
        <v>45704</v>
      </c>
      <c r="C219" t="s">
        <v>146</v>
      </c>
      <c r="D219" t="s">
        <v>34</v>
      </c>
      <c r="E219" t="s">
        <v>24</v>
      </c>
      <c r="F219" t="s">
        <v>21</v>
      </c>
      <c r="G219">
        <v>1</v>
      </c>
      <c r="H219">
        <v>1650</v>
      </c>
      <c r="I219">
        <v>0.25</v>
      </c>
      <c r="J219">
        <v>220</v>
      </c>
    </row>
    <row r="220" spans="1:10" x14ac:dyDescent="0.3">
      <c r="A220">
        <v>10221</v>
      </c>
      <c r="B220" s="1">
        <v>45743</v>
      </c>
      <c r="C220" t="s">
        <v>75</v>
      </c>
      <c r="D220" t="s">
        <v>11</v>
      </c>
      <c r="E220" t="s">
        <v>12</v>
      </c>
      <c r="F220" t="s">
        <v>21</v>
      </c>
      <c r="G220">
        <v>1</v>
      </c>
      <c r="H220">
        <v>171</v>
      </c>
      <c r="I220">
        <v>0.05</v>
      </c>
      <c r="J220">
        <v>72</v>
      </c>
    </row>
    <row r="221" spans="1:10" x14ac:dyDescent="0.3">
      <c r="A221">
        <v>10222</v>
      </c>
      <c r="B221" s="1">
        <v>45985</v>
      </c>
      <c r="C221" t="s">
        <v>147</v>
      </c>
      <c r="D221" t="s">
        <v>15</v>
      </c>
      <c r="E221" t="s">
        <v>16</v>
      </c>
      <c r="F221" t="s">
        <v>36</v>
      </c>
      <c r="G221">
        <v>1</v>
      </c>
      <c r="H221">
        <v>14250</v>
      </c>
      <c r="I221">
        <v>0.05</v>
      </c>
      <c r="J221">
        <v>3450</v>
      </c>
    </row>
    <row r="222" spans="1:10" x14ac:dyDescent="0.3">
      <c r="A222">
        <v>10223</v>
      </c>
      <c r="B222" s="1">
        <v>45760</v>
      </c>
      <c r="C222" t="s">
        <v>148</v>
      </c>
      <c r="D222" t="s">
        <v>30</v>
      </c>
      <c r="E222" t="s">
        <v>27</v>
      </c>
      <c r="F222" t="s">
        <v>21</v>
      </c>
      <c r="G222">
        <v>4</v>
      </c>
      <c r="H222">
        <v>96000</v>
      </c>
      <c r="I222">
        <v>0.2</v>
      </c>
      <c r="J222">
        <v>-2400</v>
      </c>
    </row>
    <row r="223" spans="1:10" x14ac:dyDescent="0.3">
      <c r="A223">
        <v>10224</v>
      </c>
      <c r="B223" s="1">
        <v>45958</v>
      </c>
      <c r="C223" t="s">
        <v>107</v>
      </c>
      <c r="D223" t="s">
        <v>52</v>
      </c>
      <c r="E223" t="s">
        <v>24</v>
      </c>
      <c r="F223" t="s">
        <v>36</v>
      </c>
      <c r="G223">
        <v>3</v>
      </c>
      <c r="H223">
        <v>4860</v>
      </c>
      <c r="I223">
        <v>0.1</v>
      </c>
      <c r="J223">
        <v>1350</v>
      </c>
    </row>
    <row r="224" spans="1:10" x14ac:dyDescent="0.3">
      <c r="A224">
        <v>10225</v>
      </c>
      <c r="B224" s="1">
        <v>45840</v>
      </c>
      <c r="C224" t="s">
        <v>48</v>
      </c>
      <c r="D224" t="s">
        <v>15</v>
      </c>
      <c r="E224" t="s">
        <v>16</v>
      </c>
      <c r="F224" t="s">
        <v>36</v>
      </c>
      <c r="G224">
        <v>3</v>
      </c>
      <c r="H224">
        <v>42750</v>
      </c>
      <c r="I224">
        <v>0.05</v>
      </c>
      <c r="J224">
        <v>10350</v>
      </c>
    </row>
    <row r="225" spans="1:10" x14ac:dyDescent="0.3">
      <c r="A225">
        <v>10226</v>
      </c>
      <c r="B225" s="1">
        <v>45867</v>
      </c>
      <c r="C225" t="s">
        <v>103</v>
      </c>
      <c r="D225" t="s">
        <v>52</v>
      </c>
      <c r="E225" t="s">
        <v>24</v>
      </c>
      <c r="F225" t="s">
        <v>13</v>
      </c>
      <c r="G225">
        <v>1</v>
      </c>
      <c r="H225">
        <v>1620</v>
      </c>
      <c r="I225">
        <v>0.1</v>
      </c>
      <c r="J225">
        <v>450</v>
      </c>
    </row>
    <row r="226" spans="1:10" x14ac:dyDescent="0.3">
      <c r="A226">
        <v>10227</v>
      </c>
      <c r="B226" s="1">
        <v>45968</v>
      </c>
      <c r="C226" t="s">
        <v>84</v>
      </c>
      <c r="D226" t="s">
        <v>34</v>
      </c>
      <c r="E226" t="s">
        <v>24</v>
      </c>
      <c r="F226" t="s">
        <v>21</v>
      </c>
      <c r="G226">
        <v>4</v>
      </c>
      <c r="H226">
        <v>8360</v>
      </c>
      <c r="I226">
        <v>0.05</v>
      </c>
      <c r="J226">
        <v>2640</v>
      </c>
    </row>
    <row r="227" spans="1:10" x14ac:dyDescent="0.3">
      <c r="A227">
        <v>10228</v>
      </c>
      <c r="B227" s="1">
        <v>45753</v>
      </c>
      <c r="C227" t="s">
        <v>149</v>
      </c>
      <c r="D227" t="s">
        <v>11</v>
      </c>
      <c r="E227" t="s">
        <v>12</v>
      </c>
      <c r="F227" t="s">
        <v>36</v>
      </c>
      <c r="G227">
        <v>5</v>
      </c>
      <c r="H227">
        <v>810</v>
      </c>
      <c r="I227">
        <v>0.1</v>
      </c>
      <c r="J227">
        <v>315</v>
      </c>
    </row>
    <row r="228" spans="1:10" x14ac:dyDescent="0.3">
      <c r="A228">
        <v>10229</v>
      </c>
      <c r="B228" s="1">
        <v>45975</v>
      </c>
      <c r="C228" t="s">
        <v>103</v>
      </c>
      <c r="D228" t="s">
        <v>17</v>
      </c>
      <c r="E228" t="s">
        <v>16</v>
      </c>
      <c r="F228" t="s">
        <v>18</v>
      </c>
      <c r="G228">
        <v>5</v>
      </c>
      <c r="H228">
        <v>51000</v>
      </c>
      <c r="I228">
        <v>0.15</v>
      </c>
      <c r="J228">
        <v>7800</v>
      </c>
    </row>
    <row r="229" spans="1:10" x14ac:dyDescent="0.3">
      <c r="A229">
        <v>10230</v>
      </c>
      <c r="B229" s="1">
        <v>46016</v>
      </c>
      <c r="C229" t="s">
        <v>87</v>
      </c>
      <c r="D229" t="s">
        <v>23</v>
      </c>
      <c r="E229" t="s">
        <v>24</v>
      </c>
      <c r="F229" t="s">
        <v>13</v>
      </c>
      <c r="G229">
        <v>2</v>
      </c>
      <c r="H229">
        <v>2400</v>
      </c>
      <c r="I229">
        <v>0</v>
      </c>
      <c r="J229">
        <v>840</v>
      </c>
    </row>
    <row r="230" spans="1:10" x14ac:dyDescent="0.3">
      <c r="A230">
        <v>10231</v>
      </c>
      <c r="B230" s="1">
        <v>45799</v>
      </c>
      <c r="C230" t="s">
        <v>150</v>
      </c>
      <c r="D230" t="s">
        <v>41</v>
      </c>
      <c r="E230" t="s">
        <v>27</v>
      </c>
      <c r="F230" t="s">
        <v>21</v>
      </c>
      <c r="G230">
        <v>1</v>
      </c>
      <c r="H230">
        <v>55000</v>
      </c>
      <c r="I230">
        <v>0</v>
      </c>
      <c r="J230">
        <v>9900</v>
      </c>
    </row>
    <row r="231" spans="1:10" x14ac:dyDescent="0.3">
      <c r="A231">
        <v>10232</v>
      </c>
      <c r="B231" s="1">
        <v>45950</v>
      </c>
      <c r="C231" t="s">
        <v>119</v>
      </c>
      <c r="D231" t="s">
        <v>30</v>
      </c>
      <c r="E231" t="s">
        <v>27</v>
      </c>
      <c r="F231" t="s">
        <v>36</v>
      </c>
      <c r="G231">
        <v>4</v>
      </c>
      <c r="H231">
        <v>102000</v>
      </c>
      <c r="I231">
        <v>0.15</v>
      </c>
      <c r="J231">
        <v>3600</v>
      </c>
    </row>
    <row r="232" spans="1:10" x14ac:dyDescent="0.3">
      <c r="A232">
        <v>10233</v>
      </c>
      <c r="B232" s="1">
        <v>45797</v>
      </c>
      <c r="C232" t="s">
        <v>62</v>
      </c>
      <c r="D232" t="s">
        <v>41</v>
      </c>
      <c r="E232" t="s">
        <v>27</v>
      </c>
      <c r="F232" t="s">
        <v>13</v>
      </c>
      <c r="G232">
        <v>1</v>
      </c>
      <c r="H232">
        <v>46750</v>
      </c>
      <c r="I232">
        <v>0.15</v>
      </c>
      <c r="J232">
        <v>1650</v>
      </c>
    </row>
    <row r="233" spans="1:10" x14ac:dyDescent="0.3">
      <c r="A233">
        <v>10234</v>
      </c>
      <c r="B233" s="1">
        <v>45952</v>
      </c>
      <c r="C233" t="s">
        <v>151</v>
      </c>
      <c r="D233" t="s">
        <v>15</v>
      </c>
      <c r="E233" t="s">
        <v>16</v>
      </c>
      <c r="F233" t="s">
        <v>21</v>
      </c>
      <c r="G233">
        <v>3</v>
      </c>
      <c r="H233">
        <v>40500</v>
      </c>
      <c r="I233">
        <v>0.1</v>
      </c>
      <c r="J233">
        <v>8100</v>
      </c>
    </row>
    <row r="234" spans="1:10" x14ac:dyDescent="0.3">
      <c r="A234">
        <v>10235</v>
      </c>
      <c r="B234" s="1">
        <v>45883</v>
      </c>
      <c r="C234" t="s">
        <v>114</v>
      </c>
      <c r="D234" t="s">
        <v>52</v>
      </c>
      <c r="E234" t="s">
        <v>24</v>
      </c>
      <c r="F234" t="s">
        <v>18</v>
      </c>
      <c r="G234">
        <v>3</v>
      </c>
      <c r="H234">
        <v>4320</v>
      </c>
      <c r="I234">
        <v>0.2</v>
      </c>
      <c r="J234">
        <v>810</v>
      </c>
    </row>
    <row r="235" spans="1:10" x14ac:dyDescent="0.3">
      <c r="A235">
        <v>10236</v>
      </c>
      <c r="B235" s="1">
        <v>45967</v>
      </c>
      <c r="C235" t="s">
        <v>95</v>
      </c>
      <c r="D235" t="s">
        <v>52</v>
      </c>
      <c r="E235" t="s">
        <v>24</v>
      </c>
      <c r="F235" t="s">
        <v>36</v>
      </c>
      <c r="G235">
        <v>4</v>
      </c>
      <c r="H235">
        <v>5760</v>
      </c>
      <c r="I235">
        <v>0.2</v>
      </c>
      <c r="J235">
        <v>1080</v>
      </c>
    </row>
    <row r="236" spans="1:10" x14ac:dyDescent="0.3">
      <c r="A236">
        <v>10237</v>
      </c>
      <c r="B236" s="1">
        <v>45875</v>
      </c>
      <c r="C236" t="s">
        <v>57</v>
      </c>
      <c r="D236" t="s">
        <v>34</v>
      </c>
      <c r="E236" t="s">
        <v>24</v>
      </c>
      <c r="F236" t="s">
        <v>18</v>
      </c>
      <c r="G236">
        <v>3</v>
      </c>
      <c r="H236">
        <v>6600</v>
      </c>
      <c r="I236">
        <v>0</v>
      </c>
      <c r="J236">
        <v>2310</v>
      </c>
    </row>
    <row r="237" spans="1:10" x14ac:dyDescent="0.3">
      <c r="A237">
        <v>10238</v>
      </c>
      <c r="B237" s="1">
        <v>45704</v>
      </c>
      <c r="C237" t="s">
        <v>94</v>
      </c>
      <c r="D237" t="s">
        <v>20</v>
      </c>
      <c r="E237" t="s">
        <v>12</v>
      </c>
      <c r="F237" t="s">
        <v>36</v>
      </c>
      <c r="G237">
        <v>5</v>
      </c>
      <c r="H237">
        <v>1250</v>
      </c>
      <c r="I237">
        <v>0</v>
      </c>
      <c r="J237">
        <v>562.5</v>
      </c>
    </row>
    <row r="238" spans="1:10" x14ac:dyDescent="0.3">
      <c r="A238">
        <v>10239</v>
      </c>
      <c r="B238" s="1">
        <v>45835</v>
      </c>
      <c r="C238" t="s">
        <v>35</v>
      </c>
      <c r="D238" t="s">
        <v>17</v>
      </c>
      <c r="E238" t="s">
        <v>16</v>
      </c>
      <c r="F238" t="s">
        <v>21</v>
      </c>
      <c r="G238">
        <v>2</v>
      </c>
      <c r="H238">
        <v>21600</v>
      </c>
      <c r="I238">
        <v>0.1</v>
      </c>
      <c r="J238">
        <v>4320</v>
      </c>
    </row>
    <row r="239" spans="1:10" x14ac:dyDescent="0.3">
      <c r="A239">
        <v>10240</v>
      </c>
      <c r="B239" s="1">
        <v>45926</v>
      </c>
      <c r="C239" t="s">
        <v>150</v>
      </c>
      <c r="D239" t="s">
        <v>41</v>
      </c>
      <c r="E239" t="s">
        <v>27</v>
      </c>
      <c r="F239" t="s">
        <v>13</v>
      </c>
      <c r="G239">
        <v>3</v>
      </c>
      <c r="H239">
        <v>140250</v>
      </c>
      <c r="I239">
        <v>0.15</v>
      </c>
      <c r="J239">
        <v>4950</v>
      </c>
    </row>
    <row r="240" spans="1:10" x14ac:dyDescent="0.3">
      <c r="A240">
        <v>10241</v>
      </c>
      <c r="B240" s="1">
        <v>46014</v>
      </c>
      <c r="C240" t="s">
        <v>107</v>
      </c>
      <c r="D240" t="s">
        <v>23</v>
      </c>
      <c r="E240" t="s">
        <v>24</v>
      </c>
      <c r="F240" t="s">
        <v>36</v>
      </c>
      <c r="G240">
        <v>1</v>
      </c>
      <c r="H240">
        <v>960</v>
      </c>
      <c r="I240">
        <v>0.2</v>
      </c>
      <c r="J240">
        <v>180</v>
      </c>
    </row>
    <row r="241" spans="1:10" x14ac:dyDescent="0.3">
      <c r="A241">
        <v>10242</v>
      </c>
      <c r="B241" s="1">
        <v>45686</v>
      </c>
      <c r="C241" t="s">
        <v>142</v>
      </c>
      <c r="D241" t="s">
        <v>23</v>
      </c>
      <c r="E241" t="s">
        <v>24</v>
      </c>
      <c r="F241" t="s">
        <v>36</v>
      </c>
      <c r="G241">
        <v>3</v>
      </c>
      <c r="H241">
        <v>3420</v>
      </c>
      <c r="I241">
        <v>0.05</v>
      </c>
      <c r="J241">
        <v>1080</v>
      </c>
    </row>
    <row r="242" spans="1:10" x14ac:dyDescent="0.3">
      <c r="A242">
        <v>10243</v>
      </c>
      <c r="B242" s="1">
        <v>45666</v>
      </c>
      <c r="C242" t="s">
        <v>144</v>
      </c>
      <c r="D242" t="s">
        <v>23</v>
      </c>
      <c r="E242" t="s">
        <v>24</v>
      </c>
      <c r="F242" t="s">
        <v>13</v>
      </c>
      <c r="G242">
        <v>2</v>
      </c>
      <c r="H242">
        <v>1920</v>
      </c>
      <c r="I242">
        <v>0.2</v>
      </c>
      <c r="J242">
        <v>360</v>
      </c>
    </row>
    <row r="243" spans="1:10" x14ac:dyDescent="0.3">
      <c r="A243">
        <v>10244</v>
      </c>
      <c r="B243" s="1">
        <v>45781</v>
      </c>
      <c r="C243" t="s">
        <v>113</v>
      </c>
      <c r="D243" t="s">
        <v>15</v>
      </c>
      <c r="E243" t="s">
        <v>16</v>
      </c>
      <c r="F243" t="s">
        <v>18</v>
      </c>
      <c r="G243">
        <v>3</v>
      </c>
      <c r="H243">
        <v>45000</v>
      </c>
      <c r="I243">
        <v>0</v>
      </c>
      <c r="J243">
        <v>12600</v>
      </c>
    </row>
    <row r="244" spans="1:10" x14ac:dyDescent="0.3">
      <c r="A244">
        <v>10245</v>
      </c>
      <c r="B244" s="1">
        <v>45694</v>
      </c>
      <c r="C244" t="s">
        <v>61</v>
      </c>
      <c r="D244" t="s">
        <v>15</v>
      </c>
      <c r="E244" t="s">
        <v>16</v>
      </c>
      <c r="F244" t="s">
        <v>18</v>
      </c>
      <c r="G244">
        <v>2</v>
      </c>
      <c r="H244">
        <v>27000</v>
      </c>
      <c r="I244">
        <v>0.1</v>
      </c>
      <c r="J244">
        <v>5400</v>
      </c>
    </row>
    <row r="245" spans="1:10" x14ac:dyDescent="0.3">
      <c r="A245">
        <v>10246</v>
      </c>
      <c r="B245" s="1">
        <v>45697</v>
      </c>
      <c r="C245" t="s">
        <v>98</v>
      </c>
      <c r="D245" t="s">
        <v>15</v>
      </c>
      <c r="E245" t="s">
        <v>16</v>
      </c>
      <c r="F245" t="s">
        <v>18</v>
      </c>
      <c r="G245">
        <v>5</v>
      </c>
      <c r="H245">
        <v>60000</v>
      </c>
      <c r="I245">
        <v>0.2</v>
      </c>
      <c r="J245">
        <v>6000</v>
      </c>
    </row>
    <row r="246" spans="1:10" x14ac:dyDescent="0.3">
      <c r="A246">
        <v>10247</v>
      </c>
      <c r="B246" s="1">
        <v>45697</v>
      </c>
      <c r="C246" t="s">
        <v>107</v>
      </c>
      <c r="D246" t="s">
        <v>26</v>
      </c>
      <c r="E246" t="s">
        <v>27</v>
      </c>
      <c r="F246" t="s">
        <v>18</v>
      </c>
      <c r="G246">
        <v>2</v>
      </c>
      <c r="H246">
        <v>8100</v>
      </c>
      <c r="I246">
        <v>0.1</v>
      </c>
      <c r="J246">
        <v>720</v>
      </c>
    </row>
    <row r="247" spans="1:10" x14ac:dyDescent="0.3">
      <c r="A247">
        <v>10248</v>
      </c>
      <c r="B247" s="1">
        <v>45749</v>
      </c>
      <c r="C247" t="s">
        <v>152</v>
      </c>
      <c r="D247" t="s">
        <v>41</v>
      </c>
      <c r="E247" t="s">
        <v>27</v>
      </c>
      <c r="F247" t="s">
        <v>36</v>
      </c>
      <c r="G247">
        <v>3</v>
      </c>
      <c r="H247">
        <v>132000</v>
      </c>
      <c r="I247">
        <v>0.2</v>
      </c>
      <c r="J247">
        <v>-3300</v>
      </c>
    </row>
    <row r="248" spans="1:10" x14ac:dyDescent="0.3">
      <c r="A248">
        <v>10249</v>
      </c>
      <c r="B248" s="1">
        <v>46002</v>
      </c>
      <c r="C248" t="s">
        <v>153</v>
      </c>
      <c r="D248" t="s">
        <v>23</v>
      </c>
      <c r="E248" t="s">
        <v>24</v>
      </c>
      <c r="F248" t="s">
        <v>36</v>
      </c>
      <c r="G248">
        <v>5</v>
      </c>
      <c r="H248">
        <v>4800</v>
      </c>
      <c r="I248">
        <v>0.2</v>
      </c>
      <c r="J248">
        <v>900</v>
      </c>
    </row>
    <row r="249" spans="1:10" x14ac:dyDescent="0.3">
      <c r="A249">
        <v>10250</v>
      </c>
      <c r="B249" s="1">
        <v>45892</v>
      </c>
      <c r="C249" t="s">
        <v>98</v>
      </c>
      <c r="D249" t="s">
        <v>20</v>
      </c>
      <c r="E249" t="s">
        <v>12</v>
      </c>
      <c r="F249" t="s">
        <v>21</v>
      </c>
      <c r="G249">
        <v>4</v>
      </c>
      <c r="H249">
        <v>1000</v>
      </c>
      <c r="I249">
        <v>0</v>
      </c>
      <c r="J249">
        <v>450</v>
      </c>
    </row>
    <row r="250" spans="1:10" x14ac:dyDescent="0.3">
      <c r="A250">
        <v>10251</v>
      </c>
      <c r="B250" s="1">
        <v>45817</v>
      </c>
      <c r="C250" t="s">
        <v>154</v>
      </c>
      <c r="D250" t="s">
        <v>23</v>
      </c>
      <c r="E250" t="s">
        <v>24</v>
      </c>
      <c r="F250" t="s">
        <v>13</v>
      </c>
      <c r="G250">
        <v>3</v>
      </c>
      <c r="H250">
        <v>2880</v>
      </c>
      <c r="I250">
        <v>0.2</v>
      </c>
      <c r="J250">
        <v>540</v>
      </c>
    </row>
    <row r="251" spans="1:10" x14ac:dyDescent="0.3">
      <c r="A251">
        <v>10252</v>
      </c>
      <c r="B251" s="1">
        <v>45863</v>
      </c>
      <c r="C251" t="s">
        <v>155</v>
      </c>
      <c r="D251" t="s">
        <v>11</v>
      </c>
      <c r="E251" t="s">
        <v>12</v>
      </c>
      <c r="F251" t="s">
        <v>13</v>
      </c>
      <c r="G251">
        <v>2</v>
      </c>
      <c r="H251">
        <v>306</v>
      </c>
      <c r="I251">
        <v>0.15</v>
      </c>
      <c r="J251">
        <v>108</v>
      </c>
    </row>
    <row r="252" spans="1:10" x14ac:dyDescent="0.3">
      <c r="A252">
        <v>10253</v>
      </c>
      <c r="B252" s="1">
        <v>45703</v>
      </c>
      <c r="C252" t="s">
        <v>53</v>
      </c>
      <c r="D252" t="s">
        <v>11</v>
      </c>
      <c r="E252" t="s">
        <v>12</v>
      </c>
      <c r="F252" t="s">
        <v>13</v>
      </c>
      <c r="G252">
        <v>2</v>
      </c>
      <c r="H252">
        <v>342</v>
      </c>
      <c r="I252">
        <v>0.05</v>
      </c>
      <c r="J252">
        <v>144</v>
      </c>
    </row>
    <row r="253" spans="1:10" x14ac:dyDescent="0.3">
      <c r="A253">
        <v>10254</v>
      </c>
      <c r="B253" s="1">
        <v>46001</v>
      </c>
      <c r="C253" t="s">
        <v>105</v>
      </c>
      <c r="D253" t="s">
        <v>41</v>
      </c>
      <c r="E253" t="s">
        <v>27</v>
      </c>
      <c r="F253" t="s">
        <v>36</v>
      </c>
      <c r="G253">
        <v>2</v>
      </c>
      <c r="H253">
        <v>99000</v>
      </c>
      <c r="I253">
        <v>0.1</v>
      </c>
      <c r="J253">
        <v>8800</v>
      </c>
    </row>
    <row r="254" spans="1:10" x14ac:dyDescent="0.3">
      <c r="A254">
        <v>10255</v>
      </c>
      <c r="B254" s="1">
        <v>45731</v>
      </c>
      <c r="C254" t="s">
        <v>151</v>
      </c>
      <c r="D254" t="s">
        <v>20</v>
      </c>
      <c r="E254" t="s">
        <v>12</v>
      </c>
      <c r="F254" t="s">
        <v>18</v>
      </c>
      <c r="G254">
        <v>3</v>
      </c>
      <c r="H254">
        <v>637.5</v>
      </c>
      <c r="I254">
        <v>0.15</v>
      </c>
      <c r="J254">
        <v>225</v>
      </c>
    </row>
    <row r="255" spans="1:10" x14ac:dyDescent="0.3">
      <c r="A255">
        <v>10256</v>
      </c>
      <c r="B255" s="1">
        <v>46009</v>
      </c>
      <c r="C255" t="s">
        <v>54</v>
      </c>
      <c r="D255" t="s">
        <v>15</v>
      </c>
      <c r="E255" t="s">
        <v>16</v>
      </c>
      <c r="F255" t="s">
        <v>36</v>
      </c>
      <c r="G255">
        <v>5</v>
      </c>
      <c r="H255">
        <v>63750</v>
      </c>
      <c r="I255">
        <v>0.15</v>
      </c>
      <c r="J255">
        <v>9750</v>
      </c>
    </row>
    <row r="256" spans="1:10" x14ac:dyDescent="0.3">
      <c r="A256">
        <v>10257</v>
      </c>
      <c r="B256" s="1">
        <v>45850</v>
      </c>
      <c r="C256" t="s">
        <v>143</v>
      </c>
      <c r="D256" t="s">
        <v>41</v>
      </c>
      <c r="E256" t="s">
        <v>27</v>
      </c>
      <c r="F256" t="s">
        <v>21</v>
      </c>
      <c r="G256">
        <v>4</v>
      </c>
      <c r="H256">
        <v>220000</v>
      </c>
      <c r="I256">
        <v>0</v>
      </c>
      <c r="J256">
        <v>39600</v>
      </c>
    </row>
    <row r="257" spans="1:10" x14ac:dyDescent="0.3">
      <c r="A257">
        <v>10258</v>
      </c>
      <c r="B257" s="1">
        <v>45927</v>
      </c>
      <c r="C257" t="s">
        <v>132</v>
      </c>
      <c r="D257" t="s">
        <v>52</v>
      </c>
      <c r="E257" t="s">
        <v>24</v>
      </c>
      <c r="F257" t="s">
        <v>18</v>
      </c>
      <c r="G257">
        <v>3</v>
      </c>
      <c r="H257">
        <v>4320</v>
      </c>
      <c r="I257">
        <v>0.2</v>
      </c>
      <c r="J257">
        <v>810</v>
      </c>
    </row>
    <row r="258" spans="1:10" x14ac:dyDescent="0.3">
      <c r="A258">
        <v>10259</v>
      </c>
      <c r="B258" s="1">
        <v>45664</v>
      </c>
      <c r="C258" t="s">
        <v>132</v>
      </c>
      <c r="D258" t="s">
        <v>17</v>
      </c>
      <c r="E258" t="s">
        <v>16</v>
      </c>
      <c r="F258" t="s">
        <v>36</v>
      </c>
      <c r="G258">
        <v>3</v>
      </c>
      <c r="H258">
        <v>36000</v>
      </c>
      <c r="I258">
        <v>0</v>
      </c>
      <c r="J258">
        <v>10080</v>
      </c>
    </row>
    <row r="259" spans="1:10" x14ac:dyDescent="0.3">
      <c r="A259">
        <v>10260</v>
      </c>
      <c r="B259" s="1">
        <v>45683</v>
      </c>
      <c r="C259" t="s">
        <v>132</v>
      </c>
      <c r="D259" t="s">
        <v>41</v>
      </c>
      <c r="E259" t="s">
        <v>27</v>
      </c>
      <c r="F259" t="s">
        <v>18</v>
      </c>
      <c r="G259">
        <v>3</v>
      </c>
      <c r="H259">
        <v>156750</v>
      </c>
      <c r="I259">
        <v>0.05</v>
      </c>
      <c r="J259">
        <v>21450</v>
      </c>
    </row>
    <row r="260" spans="1:10" x14ac:dyDescent="0.3">
      <c r="A260">
        <v>10261</v>
      </c>
      <c r="B260" s="1">
        <v>45696</v>
      </c>
      <c r="C260" t="s">
        <v>22</v>
      </c>
      <c r="D260" t="s">
        <v>180</v>
      </c>
      <c r="E260" t="s">
        <v>27</v>
      </c>
      <c r="F260" t="s">
        <v>36</v>
      </c>
      <c r="G260">
        <v>3</v>
      </c>
      <c r="H260">
        <v>148500</v>
      </c>
      <c r="I260">
        <v>0.1</v>
      </c>
      <c r="J260">
        <v>13200</v>
      </c>
    </row>
    <row r="261" spans="1:10" x14ac:dyDescent="0.3">
      <c r="A261">
        <v>10262</v>
      </c>
      <c r="B261" s="1">
        <v>45741</v>
      </c>
      <c r="C261" t="s">
        <v>143</v>
      </c>
      <c r="D261" t="s">
        <v>17</v>
      </c>
      <c r="E261" t="s">
        <v>16</v>
      </c>
      <c r="F261" t="s">
        <v>36</v>
      </c>
      <c r="G261">
        <v>2</v>
      </c>
      <c r="H261">
        <v>20400</v>
      </c>
      <c r="I261">
        <v>0.15</v>
      </c>
      <c r="J261">
        <v>3120</v>
      </c>
    </row>
    <row r="262" spans="1:10" x14ac:dyDescent="0.3">
      <c r="A262">
        <v>10263</v>
      </c>
      <c r="B262" s="1">
        <v>45749</v>
      </c>
      <c r="C262" t="s">
        <v>156</v>
      </c>
      <c r="D262" t="s">
        <v>26</v>
      </c>
      <c r="E262" t="s">
        <v>27</v>
      </c>
      <c r="F262" t="s">
        <v>36</v>
      </c>
      <c r="G262">
        <v>1</v>
      </c>
      <c r="H262">
        <v>3375</v>
      </c>
      <c r="I262">
        <v>0.25</v>
      </c>
      <c r="J262">
        <v>-315</v>
      </c>
    </row>
    <row r="263" spans="1:10" x14ac:dyDescent="0.3">
      <c r="A263">
        <v>10264</v>
      </c>
      <c r="B263" s="1">
        <v>45804</v>
      </c>
      <c r="C263" t="s">
        <v>25</v>
      </c>
      <c r="D263" t="s">
        <v>15</v>
      </c>
      <c r="E263" t="s">
        <v>16</v>
      </c>
      <c r="F263" t="s">
        <v>36</v>
      </c>
      <c r="G263">
        <v>3</v>
      </c>
      <c r="H263">
        <v>33750</v>
      </c>
      <c r="I263">
        <v>0.25</v>
      </c>
      <c r="J263">
        <v>1350</v>
      </c>
    </row>
    <row r="264" spans="1:10" x14ac:dyDescent="0.3">
      <c r="A264">
        <v>10265</v>
      </c>
      <c r="B264" s="1">
        <v>45672</v>
      </c>
      <c r="C264" t="s">
        <v>121</v>
      </c>
      <c r="D264" t="s">
        <v>41</v>
      </c>
      <c r="E264" t="s">
        <v>27</v>
      </c>
      <c r="F264" t="s">
        <v>13</v>
      </c>
      <c r="G264">
        <v>2</v>
      </c>
      <c r="H264">
        <v>88000</v>
      </c>
      <c r="I264">
        <v>0.2</v>
      </c>
      <c r="J264">
        <v>-2200</v>
      </c>
    </row>
    <row r="265" spans="1:10" x14ac:dyDescent="0.3">
      <c r="A265">
        <v>10266</v>
      </c>
      <c r="B265" s="1">
        <v>45865</v>
      </c>
      <c r="C265" t="s">
        <v>68</v>
      </c>
      <c r="D265" t="s">
        <v>23</v>
      </c>
      <c r="E265" t="s">
        <v>24</v>
      </c>
      <c r="F265" t="s">
        <v>18</v>
      </c>
      <c r="G265">
        <v>4</v>
      </c>
      <c r="H265">
        <v>4320</v>
      </c>
      <c r="I265">
        <v>0.1</v>
      </c>
      <c r="J265">
        <v>1200</v>
      </c>
    </row>
    <row r="266" spans="1:10" x14ac:dyDescent="0.3">
      <c r="A266">
        <v>10267</v>
      </c>
      <c r="B266" s="1">
        <v>45665</v>
      </c>
      <c r="C266" t="s">
        <v>124</v>
      </c>
      <c r="D266" t="s">
        <v>23</v>
      </c>
      <c r="E266" t="s">
        <v>24</v>
      </c>
      <c r="F266" t="s">
        <v>36</v>
      </c>
      <c r="G266">
        <v>1</v>
      </c>
      <c r="H266">
        <v>1200</v>
      </c>
      <c r="I266">
        <v>0</v>
      </c>
      <c r="J266">
        <v>420</v>
      </c>
    </row>
    <row r="267" spans="1:10" x14ac:dyDescent="0.3">
      <c r="A267">
        <v>10268</v>
      </c>
      <c r="B267" s="1">
        <v>46006</v>
      </c>
      <c r="C267" t="s">
        <v>55</v>
      </c>
      <c r="D267" t="s">
        <v>30</v>
      </c>
      <c r="E267" t="s">
        <v>27</v>
      </c>
      <c r="F267" t="s">
        <v>18</v>
      </c>
      <c r="G267">
        <v>4</v>
      </c>
      <c r="H267">
        <v>120000</v>
      </c>
      <c r="I267">
        <v>0</v>
      </c>
      <c r="J267">
        <v>21600</v>
      </c>
    </row>
    <row r="268" spans="1:10" x14ac:dyDescent="0.3">
      <c r="A268">
        <v>10269</v>
      </c>
      <c r="B268" s="1">
        <v>45672</v>
      </c>
      <c r="C268" t="s">
        <v>148</v>
      </c>
      <c r="D268" t="s">
        <v>34</v>
      </c>
      <c r="E268" t="s">
        <v>24</v>
      </c>
      <c r="F268" t="s">
        <v>21</v>
      </c>
      <c r="G268">
        <v>3</v>
      </c>
      <c r="H268">
        <v>6270</v>
      </c>
      <c r="I268">
        <v>0.05</v>
      </c>
      <c r="J268">
        <v>1980</v>
      </c>
    </row>
    <row r="269" spans="1:10" x14ac:dyDescent="0.3">
      <c r="A269">
        <v>10270</v>
      </c>
      <c r="B269" s="1">
        <v>45976</v>
      </c>
      <c r="C269" t="s">
        <v>95</v>
      </c>
      <c r="D269" t="s">
        <v>17</v>
      </c>
      <c r="E269" t="s">
        <v>16</v>
      </c>
      <c r="F269" t="s">
        <v>21</v>
      </c>
      <c r="G269">
        <v>4</v>
      </c>
      <c r="H269">
        <v>43200</v>
      </c>
      <c r="I269">
        <v>0.1</v>
      </c>
      <c r="J269">
        <v>8640</v>
      </c>
    </row>
    <row r="270" spans="1:10" x14ac:dyDescent="0.3">
      <c r="A270">
        <v>10271</v>
      </c>
      <c r="B270" s="1">
        <v>45866</v>
      </c>
      <c r="C270" t="s">
        <v>10</v>
      </c>
      <c r="D270" t="s">
        <v>52</v>
      </c>
      <c r="E270" t="s">
        <v>24</v>
      </c>
      <c r="F270" t="s">
        <v>13</v>
      </c>
      <c r="G270">
        <v>3</v>
      </c>
      <c r="H270">
        <v>4050</v>
      </c>
      <c r="I270">
        <v>0.25</v>
      </c>
      <c r="J270">
        <v>540</v>
      </c>
    </row>
    <row r="271" spans="1:10" x14ac:dyDescent="0.3">
      <c r="A271">
        <v>10272</v>
      </c>
      <c r="B271" s="1">
        <v>45752</v>
      </c>
      <c r="C271" t="s">
        <v>146</v>
      </c>
      <c r="D271" t="s">
        <v>30</v>
      </c>
      <c r="E271" t="s">
        <v>27</v>
      </c>
      <c r="F271" t="s">
        <v>36</v>
      </c>
      <c r="G271">
        <v>2</v>
      </c>
      <c r="H271">
        <v>54000</v>
      </c>
      <c r="I271">
        <v>0.1</v>
      </c>
      <c r="J271">
        <v>4800</v>
      </c>
    </row>
    <row r="272" spans="1:10" x14ac:dyDescent="0.3">
      <c r="A272">
        <v>10273</v>
      </c>
      <c r="B272" s="1">
        <v>45924</v>
      </c>
      <c r="C272" t="s">
        <v>14</v>
      </c>
      <c r="D272" t="s">
        <v>23</v>
      </c>
      <c r="E272" t="s">
        <v>24</v>
      </c>
      <c r="F272" t="s">
        <v>13</v>
      </c>
      <c r="G272">
        <v>1</v>
      </c>
      <c r="H272">
        <v>900</v>
      </c>
      <c r="I272">
        <v>0.25</v>
      </c>
      <c r="J272">
        <v>120</v>
      </c>
    </row>
    <row r="273" spans="1:10" x14ac:dyDescent="0.3">
      <c r="A273">
        <v>10274</v>
      </c>
      <c r="B273" s="1">
        <v>45817</v>
      </c>
      <c r="C273" t="s">
        <v>86</v>
      </c>
      <c r="D273" t="s">
        <v>41</v>
      </c>
      <c r="E273" t="s">
        <v>27</v>
      </c>
      <c r="F273" t="s">
        <v>21</v>
      </c>
      <c r="G273">
        <v>4</v>
      </c>
      <c r="H273">
        <v>165000</v>
      </c>
      <c r="I273">
        <v>0.25</v>
      </c>
      <c r="J273">
        <v>-15400</v>
      </c>
    </row>
    <row r="274" spans="1:10" x14ac:dyDescent="0.3">
      <c r="A274">
        <v>10275</v>
      </c>
      <c r="B274" s="1">
        <v>45859</v>
      </c>
      <c r="C274" t="s">
        <v>152</v>
      </c>
      <c r="D274" t="s">
        <v>20</v>
      </c>
      <c r="E274" t="s">
        <v>12</v>
      </c>
      <c r="F274" t="s">
        <v>21</v>
      </c>
      <c r="G274">
        <v>4</v>
      </c>
      <c r="H274">
        <v>850</v>
      </c>
      <c r="I274">
        <v>0.15</v>
      </c>
      <c r="J274">
        <v>300</v>
      </c>
    </row>
    <row r="275" spans="1:10" x14ac:dyDescent="0.3">
      <c r="A275">
        <v>10276</v>
      </c>
      <c r="B275" s="1">
        <v>45734</v>
      </c>
      <c r="C275" t="s">
        <v>63</v>
      </c>
      <c r="D275" t="s">
        <v>41</v>
      </c>
      <c r="E275" t="s">
        <v>27</v>
      </c>
      <c r="F275" t="s">
        <v>21</v>
      </c>
      <c r="G275">
        <v>1</v>
      </c>
      <c r="H275">
        <v>44000</v>
      </c>
      <c r="I275">
        <v>0.2</v>
      </c>
      <c r="J275">
        <v>-1100</v>
      </c>
    </row>
    <row r="276" spans="1:10" x14ac:dyDescent="0.3">
      <c r="A276">
        <v>10277</v>
      </c>
      <c r="B276" s="1">
        <v>45747</v>
      </c>
      <c r="C276" t="s">
        <v>81</v>
      </c>
      <c r="D276" t="s">
        <v>20</v>
      </c>
      <c r="E276" t="s">
        <v>12</v>
      </c>
      <c r="F276" t="s">
        <v>21</v>
      </c>
      <c r="G276">
        <v>2</v>
      </c>
      <c r="H276">
        <v>375</v>
      </c>
      <c r="I276">
        <v>0.25</v>
      </c>
      <c r="J276">
        <v>100</v>
      </c>
    </row>
    <row r="277" spans="1:10" x14ac:dyDescent="0.3">
      <c r="A277">
        <v>10278</v>
      </c>
      <c r="B277" s="1">
        <v>45962</v>
      </c>
      <c r="C277" t="s">
        <v>73</v>
      </c>
      <c r="D277" t="s">
        <v>30</v>
      </c>
      <c r="E277" t="s">
        <v>27</v>
      </c>
      <c r="F277" t="s">
        <v>36</v>
      </c>
      <c r="G277">
        <v>2</v>
      </c>
      <c r="H277">
        <v>60000</v>
      </c>
      <c r="I277">
        <v>0</v>
      </c>
      <c r="J277">
        <v>10800</v>
      </c>
    </row>
    <row r="278" spans="1:10" x14ac:dyDescent="0.3">
      <c r="A278">
        <v>10279</v>
      </c>
      <c r="B278" s="1">
        <v>45919</v>
      </c>
      <c r="C278" t="s">
        <v>119</v>
      </c>
      <c r="D278" t="s">
        <v>26</v>
      </c>
      <c r="E278" t="s">
        <v>27</v>
      </c>
      <c r="F278" t="s">
        <v>36</v>
      </c>
      <c r="G278">
        <v>3</v>
      </c>
      <c r="H278">
        <v>13500</v>
      </c>
      <c r="I278">
        <v>0</v>
      </c>
      <c r="J278">
        <v>2430</v>
      </c>
    </row>
    <row r="279" spans="1:10" x14ac:dyDescent="0.3">
      <c r="A279">
        <v>10280</v>
      </c>
      <c r="B279" s="1">
        <v>45985</v>
      </c>
      <c r="C279" t="s">
        <v>79</v>
      </c>
      <c r="D279" t="s">
        <v>23</v>
      </c>
      <c r="E279" t="s">
        <v>24</v>
      </c>
      <c r="F279" t="s">
        <v>21</v>
      </c>
      <c r="G279">
        <v>2</v>
      </c>
      <c r="H279">
        <v>1800</v>
      </c>
      <c r="I279">
        <v>0.25</v>
      </c>
      <c r="J279">
        <v>240</v>
      </c>
    </row>
    <row r="280" spans="1:10" x14ac:dyDescent="0.3">
      <c r="A280">
        <v>10281</v>
      </c>
      <c r="B280" s="1">
        <v>45741</v>
      </c>
      <c r="C280" t="s">
        <v>28</v>
      </c>
      <c r="D280" t="s">
        <v>17</v>
      </c>
      <c r="E280" t="s">
        <v>16</v>
      </c>
      <c r="F280" t="s">
        <v>21</v>
      </c>
      <c r="G280">
        <v>3</v>
      </c>
      <c r="H280">
        <v>32400</v>
      </c>
      <c r="I280">
        <v>0.1</v>
      </c>
      <c r="J280">
        <v>6480</v>
      </c>
    </row>
    <row r="281" spans="1:10" x14ac:dyDescent="0.3">
      <c r="A281">
        <v>10282</v>
      </c>
      <c r="B281" s="1">
        <v>45784</v>
      </c>
      <c r="C281" t="s">
        <v>40</v>
      </c>
      <c r="D281" t="s">
        <v>34</v>
      </c>
      <c r="E281" t="s">
        <v>24</v>
      </c>
      <c r="F281" t="s">
        <v>18</v>
      </c>
      <c r="G281">
        <v>2</v>
      </c>
      <c r="H281">
        <v>3960</v>
      </c>
      <c r="I281">
        <v>0.1</v>
      </c>
      <c r="J281">
        <v>1100</v>
      </c>
    </row>
    <row r="282" spans="1:10" x14ac:dyDescent="0.3">
      <c r="A282">
        <v>10283</v>
      </c>
      <c r="B282" s="1">
        <v>45669</v>
      </c>
      <c r="C282" t="s">
        <v>157</v>
      </c>
      <c r="D282" t="s">
        <v>34</v>
      </c>
      <c r="E282" t="s">
        <v>24</v>
      </c>
      <c r="F282" t="s">
        <v>18</v>
      </c>
      <c r="G282">
        <v>3</v>
      </c>
      <c r="H282">
        <v>5610</v>
      </c>
      <c r="I282">
        <v>0.15</v>
      </c>
      <c r="J282">
        <v>1320</v>
      </c>
    </row>
    <row r="283" spans="1:10" x14ac:dyDescent="0.3">
      <c r="A283">
        <v>10284</v>
      </c>
      <c r="B283" s="1">
        <v>45804</v>
      </c>
      <c r="C283" t="s">
        <v>138</v>
      </c>
      <c r="D283" t="s">
        <v>23</v>
      </c>
      <c r="E283" t="s">
        <v>24</v>
      </c>
      <c r="F283" t="s">
        <v>21</v>
      </c>
      <c r="G283">
        <v>5</v>
      </c>
      <c r="H283">
        <v>5400</v>
      </c>
      <c r="I283">
        <v>0.1</v>
      </c>
      <c r="J283">
        <v>1500</v>
      </c>
    </row>
    <row r="284" spans="1:10" x14ac:dyDescent="0.3">
      <c r="A284">
        <v>10285</v>
      </c>
      <c r="B284" s="1">
        <v>45776</v>
      </c>
      <c r="C284" t="s">
        <v>134</v>
      </c>
      <c r="D284" t="s">
        <v>17</v>
      </c>
      <c r="E284" t="s">
        <v>16</v>
      </c>
      <c r="F284" t="s">
        <v>36</v>
      </c>
      <c r="G284">
        <v>5</v>
      </c>
      <c r="H284">
        <v>57000</v>
      </c>
      <c r="I284">
        <v>0.05</v>
      </c>
      <c r="J284">
        <v>13800</v>
      </c>
    </row>
    <row r="285" spans="1:10" x14ac:dyDescent="0.3">
      <c r="A285">
        <v>10286</v>
      </c>
      <c r="B285" s="1">
        <v>45868</v>
      </c>
      <c r="C285" t="s">
        <v>77</v>
      </c>
      <c r="D285" t="s">
        <v>26</v>
      </c>
      <c r="E285" t="s">
        <v>27</v>
      </c>
      <c r="F285" t="s">
        <v>13</v>
      </c>
      <c r="G285">
        <v>4</v>
      </c>
      <c r="H285">
        <v>16200</v>
      </c>
      <c r="I285">
        <v>0.1</v>
      </c>
      <c r="J285">
        <v>1440</v>
      </c>
    </row>
    <row r="286" spans="1:10" x14ac:dyDescent="0.3">
      <c r="A286">
        <v>10287</v>
      </c>
      <c r="B286" s="1">
        <v>45859</v>
      </c>
      <c r="C286" t="s">
        <v>43</v>
      </c>
      <c r="D286" t="s">
        <v>52</v>
      </c>
      <c r="E286" t="s">
        <v>24</v>
      </c>
      <c r="F286" t="s">
        <v>13</v>
      </c>
      <c r="G286">
        <v>1</v>
      </c>
      <c r="H286">
        <v>1620</v>
      </c>
      <c r="I286">
        <v>0.1</v>
      </c>
      <c r="J286">
        <v>450</v>
      </c>
    </row>
    <row r="287" spans="1:10" x14ac:dyDescent="0.3">
      <c r="A287">
        <v>10288</v>
      </c>
      <c r="B287" s="1">
        <v>45962</v>
      </c>
      <c r="C287" t="s">
        <v>120</v>
      </c>
      <c r="D287" t="s">
        <v>20</v>
      </c>
      <c r="E287" t="s">
        <v>12</v>
      </c>
      <c r="F287" t="s">
        <v>13</v>
      </c>
      <c r="G287">
        <v>1</v>
      </c>
      <c r="H287">
        <v>200</v>
      </c>
      <c r="I287">
        <v>0.2</v>
      </c>
      <c r="J287">
        <v>62.5</v>
      </c>
    </row>
    <row r="288" spans="1:10" x14ac:dyDescent="0.3">
      <c r="A288">
        <v>10289</v>
      </c>
      <c r="B288" s="1">
        <v>45950</v>
      </c>
      <c r="C288" t="s">
        <v>110</v>
      </c>
      <c r="D288" t="s">
        <v>34</v>
      </c>
      <c r="E288" t="s">
        <v>24</v>
      </c>
      <c r="F288" t="s">
        <v>18</v>
      </c>
      <c r="G288">
        <v>5</v>
      </c>
      <c r="H288">
        <v>8800</v>
      </c>
      <c r="I288">
        <v>0.2</v>
      </c>
      <c r="J288">
        <v>1650</v>
      </c>
    </row>
    <row r="289" spans="1:10" x14ac:dyDescent="0.3">
      <c r="A289">
        <v>10290</v>
      </c>
      <c r="B289" s="1">
        <v>45834</v>
      </c>
      <c r="C289" t="s">
        <v>91</v>
      </c>
      <c r="D289" t="s">
        <v>17</v>
      </c>
      <c r="E289" t="s">
        <v>16</v>
      </c>
      <c r="F289" t="s">
        <v>13</v>
      </c>
      <c r="G289">
        <v>4</v>
      </c>
      <c r="H289">
        <v>48000</v>
      </c>
      <c r="I289">
        <v>0</v>
      </c>
      <c r="J289">
        <v>13440</v>
      </c>
    </row>
    <row r="290" spans="1:10" x14ac:dyDescent="0.3">
      <c r="A290">
        <v>10291</v>
      </c>
      <c r="B290" s="1">
        <v>45885</v>
      </c>
      <c r="C290" t="s">
        <v>47</v>
      </c>
      <c r="D290" t="s">
        <v>17</v>
      </c>
      <c r="E290" t="s">
        <v>16</v>
      </c>
      <c r="F290" t="s">
        <v>36</v>
      </c>
      <c r="G290">
        <v>2</v>
      </c>
      <c r="H290">
        <v>20400</v>
      </c>
      <c r="I290">
        <v>0.15</v>
      </c>
      <c r="J290">
        <v>3120</v>
      </c>
    </row>
    <row r="291" spans="1:10" x14ac:dyDescent="0.3">
      <c r="A291">
        <v>10292</v>
      </c>
      <c r="B291" s="1">
        <v>45900</v>
      </c>
      <c r="C291" t="s">
        <v>67</v>
      </c>
      <c r="D291" t="s">
        <v>30</v>
      </c>
      <c r="E291" t="s">
        <v>27</v>
      </c>
      <c r="F291" t="s">
        <v>21</v>
      </c>
      <c r="G291">
        <v>4</v>
      </c>
      <c r="H291">
        <v>108000</v>
      </c>
      <c r="I291">
        <v>0.1</v>
      </c>
      <c r="J291">
        <v>9600</v>
      </c>
    </row>
    <row r="292" spans="1:10" x14ac:dyDescent="0.3">
      <c r="A292">
        <v>10293</v>
      </c>
      <c r="B292" s="1">
        <v>45894</v>
      </c>
      <c r="C292" t="s">
        <v>72</v>
      </c>
      <c r="D292" t="s">
        <v>20</v>
      </c>
      <c r="E292" t="s">
        <v>12</v>
      </c>
      <c r="F292" t="s">
        <v>18</v>
      </c>
      <c r="G292">
        <v>5</v>
      </c>
      <c r="H292">
        <v>1187.5</v>
      </c>
      <c r="I292">
        <v>0.05</v>
      </c>
      <c r="J292">
        <v>500</v>
      </c>
    </row>
    <row r="293" spans="1:10" x14ac:dyDescent="0.3">
      <c r="A293">
        <v>10294</v>
      </c>
      <c r="B293" s="1">
        <v>45665</v>
      </c>
      <c r="C293" t="s">
        <v>153</v>
      </c>
      <c r="D293" t="s">
        <v>15</v>
      </c>
      <c r="E293" t="s">
        <v>16</v>
      </c>
      <c r="F293" t="s">
        <v>18</v>
      </c>
      <c r="G293">
        <v>1</v>
      </c>
      <c r="H293">
        <v>15000</v>
      </c>
      <c r="I293">
        <v>0</v>
      </c>
      <c r="J293">
        <v>4200</v>
      </c>
    </row>
    <row r="294" spans="1:10" x14ac:dyDescent="0.3">
      <c r="A294">
        <v>10295</v>
      </c>
      <c r="B294" s="1">
        <v>45991</v>
      </c>
      <c r="C294" t="s">
        <v>140</v>
      </c>
      <c r="D294" t="s">
        <v>11</v>
      </c>
      <c r="E294" t="s">
        <v>12</v>
      </c>
      <c r="F294" t="s">
        <v>36</v>
      </c>
      <c r="G294">
        <v>2</v>
      </c>
      <c r="H294">
        <v>342</v>
      </c>
      <c r="I294">
        <v>0.05</v>
      </c>
      <c r="J294">
        <v>144</v>
      </c>
    </row>
    <row r="295" spans="1:10" x14ac:dyDescent="0.3">
      <c r="A295">
        <v>10296</v>
      </c>
      <c r="B295" s="1">
        <v>45698</v>
      </c>
      <c r="C295" t="s">
        <v>80</v>
      </c>
      <c r="D295" t="s">
        <v>15</v>
      </c>
      <c r="E295" t="s">
        <v>16</v>
      </c>
      <c r="F295" t="s">
        <v>21</v>
      </c>
      <c r="G295">
        <v>5</v>
      </c>
      <c r="H295">
        <v>75000</v>
      </c>
      <c r="I295">
        <v>0</v>
      </c>
      <c r="J295">
        <v>21000</v>
      </c>
    </row>
    <row r="296" spans="1:10" x14ac:dyDescent="0.3">
      <c r="A296">
        <v>10297</v>
      </c>
      <c r="B296" s="1">
        <v>45888</v>
      </c>
      <c r="C296" t="s">
        <v>158</v>
      </c>
      <c r="D296" t="s">
        <v>52</v>
      </c>
      <c r="E296" t="s">
        <v>24</v>
      </c>
      <c r="F296" t="s">
        <v>13</v>
      </c>
      <c r="G296">
        <v>1</v>
      </c>
      <c r="H296">
        <v>1530</v>
      </c>
      <c r="I296">
        <v>0.15</v>
      </c>
      <c r="J296">
        <v>360</v>
      </c>
    </row>
    <row r="297" spans="1:10" x14ac:dyDescent="0.3">
      <c r="A297">
        <v>10298</v>
      </c>
      <c r="B297" s="1">
        <v>45820</v>
      </c>
      <c r="C297" t="s">
        <v>128</v>
      </c>
      <c r="D297" t="s">
        <v>23</v>
      </c>
      <c r="E297" t="s">
        <v>24</v>
      </c>
      <c r="F297" t="s">
        <v>36</v>
      </c>
      <c r="G297">
        <v>1</v>
      </c>
      <c r="H297">
        <v>1140</v>
      </c>
      <c r="I297">
        <v>0.05</v>
      </c>
      <c r="J297">
        <v>360</v>
      </c>
    </row>
    <row r="298" spans="1:10" x14ac:dyDescent="0.3">
      <c r="A298">
        <v>10299</v>
      </c>
      <c r="B298" s="1">
        <v>45958</v>
      </c>
      <c r="C298" t="s">
        <v>78</v>
      </c>
      <c r="D298" t="s">
        <v>41</v>
      </c>
      <c r="E298" t="s">
        <v>27</v>
      </c>
      <c r="F298" t="s">
        <v>36</v>
      </c>
      <c r="G298">
        <v>4</v>
      </c>
      <c r="H298">
        <v>220000</v>
      </c>
      <c r="I298">
        <v>0</v>
      </c>
      <c r="J298">
        <v>39600</v>
      </c>
    </row>
    <row r="299" spans="1:10" x14ac:dyDescent="0.3">
      <c r="A299">
        <v>10300</v>
      </c>
      <c r="B299" s="1">
        <v>45737</v>
      </c>
      <c r="C299" t="s">
        <v>159</v>
      </c>
      <c r="D299" t="s">
        <v>34</v>
      </c>
      <c r="E299" t="s">
        <v>24</v>
      </c>
      <c r="F299" t="s">
        <v>21</v>
      </c>
      <c r="G299">
        <v>3</v>
      </c>
      <c r="H299">
        <v>5940</v>
      </c>
      <c r="I299">
        <v>0.1</v>
      </c>
      <c r="J299">
        <v>1650</v>
      </c>
    </row>
    <row r="300" spans="1:10" x14ac:dyDescent="0.3">
      <c r="A300">
        <v>10301</v>
      </c>
      <c r="B300" s="1">
        <v>45921</v>
      </c>
      <c r="C300" t="s">
        <v>44</v>
      </c>
      <c r="D300" t="s">
        <v>23</v>
      </c>
      <c r="E300" t="s">
        <v>24</v>
      </c>
      <c r="F300" t="s">
        <v>13</v>
      </c>
      <c r="G300">
        <v>1</v>
      </c>
      <c r="H300">
        <v>1080</v>
      </c>
      <c r="I300">
        <v>0.1</v>
      </c>
      <c r="J300">
        <v>300</v>
      </c>
    </row>
    <row r="301" spans="1:10" x14ac:dyDescent="0.3">
      <c r="A301">
        <v>10302</v>
      </c>
      <c r="B301" s="1">
        <v>45764</v>
      </c>
      <c r="C301" t="s">
        <v>137</v>
      </c>
      <c r="D301" t="s">
        <v>20</v>
      </c>
      <c r="E301" t="s">
        <v>12</v>
      </c>
      <c r="F301" t="s">
        <v>13</v>
      </c>
      <c r="G301">
        <v>4</v>
      </c>
      <c r="H301">
        <v>950</v>
      </c>
      <c r="I301">
        <v>0.05</v>
      </c>
      <c r="J301">
        <v>400</v>
      </c>
    </row>
    <row r="302" spans="1:10" x14ac:dyDescent="0.3">
      <c r="A302">
        <v>10303</v>
      </c>
      <c r="B302" s="1">
        <v>45864</v>
      </c>
      <c r="C302" t="s">
        <v>126</v>
      </c>
      <c r="D302" t="s">
        <v>52</v>
      </c>
      <c r="E302" t="s">
        <v>24</v>
      </c>
      <c r="F302" t="s">
        <v>18</v>
      </c>
      <c r="G302">
        <v>4</v>
      </c>
      <c r="H302">
        <v>6480</v>
      </c>
      <c r="I302">
        <v>0.1</v>
      </c>
      <c r="J302">
        <v>1800</v>
      </c>
    </row>
    <row r="303" spans="1:10" x14ac:dyDescent="0.3">
      <c r="A303">
        <v>10304</v>
      </c>
      <c r="B303" s="1">
        <v>45950</v>
      </c>
      <c r="C303" t="s">
        <v>125</v>
      </c>
      <c r="D303" t="s">
        <v>17</v>
      </c>
      <c r="E303" t="s">
        <v>16</v>
      </c>
      <c r="F303" t="s">
        <v>21</v>
      </c>
      <c r="G303">
        <v>2</v>
      </c>
      <c r="H303">
        <v>18000</v>
      </c>
      <c r="I303">
        <v>0.25</v>
      </c>
      <c r="J303">
        <v>720</v>
      </c>
    </row>
    <row r="304" spans="1:10" x14ac:dyDescent="0.3">
      <c r="A304">
        <v>10305</v>
      </c>
      <c r="B304" s="1">
        <v>45902</v>
      </c>
      <c r="C304" t="s">
        <v>147</v>
      </c>
      <c r="D304" t="s">
        <v>41</v>
      </c>
      <c r="E304" t="s">
        <v>27</v>
      </c>
      <c r="F304" t="s">
        <v>13</v>
      </c>
      <c r="G304">
        <v>3</v>
      </c>
      <c r="H304">
        <v>148500</v>
      </c>
      <c r="I304">
        <v>0.1</v>
      </c>
      <c r="J304">
        <v>13200</v>
      </c>
    </row>
    <row r="305" spans="1:10" x14ac:dyDescent="0.3">
      <c r="A305">
        <v>10306</v>
      </c>
      <c r="B305" s="1">
        <v>45669</v>
      </c>
      <c r="C305" t="s">
        <v>125</v>
      </c>
      <c r="D305" t="s">
        <v>41</v>
      </c>
      <c r="E305" t="s">
        <v>27</v>
      </c>
      <c r="F305" t="s">
        <v>13</v>
      </c>
      <c r="G305">
        <v>1</v>
      </c>
      <c r="H305">
        <v>49500</v>
      </c>
      <c r="I305">
        <v>0.1</v>
      </c>
      <c r="J305">
        <v>4400</v>
      </c>
    </row>
    <row r="306" spans="1:10" x14ac:dyDescent="0.3">
      <c r="A306">
        <v>10307</v>
      </c>
      <c r="B306" s="1">
        <v>45874</v>
      </c>
      <c r="C306" t="s">
        <v>160</v>
      </c>
      <c r="D306" t="s">
        <v>30</v>
      </c>
      <c r="E306" t="s">
        <v>27</v>
      </c>
      <c r="F306" t="s">
        <v>13</v>
      </c>
      <c r="G306">
        <v>3</v>
      </c>
      <c r="H306">
        <v>90000</v>
      </c>
      <c r="I306">
        <v>0</v>
      </c>
      <c r="J306">
        <v>16200</v>
      </c>
    </row>
    <row r="307" spans="1:10" x14ac:dyDescent="0.3">
      <c r="A307">
        <v>10308</v>
      </c>
      <c r="B307" s="1">
        <v>45951</v>
      </c>
      <c r="C307" t="s">
        <v>87</v>
      </c>
      <c r="D307" t="s">
        <v>23</v>
      </c>
      <c r="E307" t="s">
        <v>24</v>
      </c>
      <c r="F307" t="s">
        <v>36</v>
      </c>
      <c r="G307">
        <v>3</v>
      </c>
      <c r="H307">
        <v>3240</v>
      </c>
      <c r="I307">
        <v>0.1</v>
      </c>
      <c r="J307">
        <v>900</v>
      </c>
    </row>
    <row r="308" spans="1:10" x14ac:dyDescent="0.3">
      <c r="A308">
        <v>10309</v>
      </c>
      <c r="B308" s="1">
        <v>45665</v>
      </c>
      <c r="C308" t="s">
        <v>112</v>
      </c>
      <c r="D308" t="s">
        <v>17</v>
      </c>
      <c r="E308" t="s">
        <v>16</v>
      </c>
      <c r="F308" t="s">
        <v>13</v>
      </c>
      <c r="G308">
        <v>2</v>
      </c>
      <c r="H308">
        <v>22800</v>
      </c>
      <c r="I308">
        <v>0.05</v>
      </c>
      <c r="J308">
        <v>5520</v>
      </c>
    </row>
    <row r="309" spans="1:10" x14ac:dyDescent="0.3">
      <c r="A309">
        <v>10310</v>
      </c>
      <c r="B309" s="1">
        <v>45662</v>
      </c>
      <c r="C309" t="s">
        <v>76</v>
      </c>
      <c r="D309" t="s">
        <v>11</v>
      </c>
      <c r="E309" t="s">
        <v>12</v>
      </c>
      <c r="F309" t="s">
        <v>36</v>
      </c>
      <c r="G309">
        <v>5</v>
      </c>
      <c r="H309">
        <v>810</v>
      </c>
      <c r="I309">
        <v>0.1</v>
      </c>
      <c r="J309">
        <v>315</v>
      </c>
    </row>
    <row r="310" spans="1:10" x14ac:dyDescent="0.3">
      <c r="A310">
        <v>10311</v>
      </c>
      <c r="B310" s="1">
        <v>45875</v>
      </c>
      <c r="C310" t="s">
        <v>136</v>
      </c>
      <c r="D310" t="s">
        <v>30</v>
      </c>
      <c r="E310" t="s">
        <v>27</v>
      </c>
      <c r="F310" t="s">
        <v>21</v>
      </c>
      <c r="G310">
        <v>1</v>
      </c>
      <c r="H310">
        <v>24000</v>
      </c>
      <c r="I310">
        <v>0.2</v>
      </c>
      <c r="J310">
        <v>-600</v>
      </c>
    </row>
    <row r="311" spans="1:10" x14ac:dyDescent="0.3">
      <c r="A311">
        <v>10312</v>
      </c>
      <c r="B311" s="1">
        <v>45889</v>
      </c>
      <c r="C311" t="s">
        <v>53</v>
      </c>
      <c r="D311" t="s">
        <v>41</v>
      </c>
      <c r="E311" t="s">
        <v>27</v>
      </c>
      <c r="F311" t="s">
        <v>18</v>
      </c>
      <c r="G311">
        <v>2</v>
      </c>
      <c r="H311">
        <v>88000</v>
      </c>
      <c r="I311">
        <v>0.2</v>
      </c>
      <c r="J311">
        <v>-2200</v>
      </c>
    </row>
    <row r="312" spans="1:10" x14ac:dyDescent="0.3">
      <c r="A312">
        <v>10313</v>
      </c>
      <c r="B312" s="1">
        <v>45946</v>
      </c>
      <c r="C312" t="s">
        <v>44</v>
      </c>
      <c r="D312" t="s">
        <v>52</v>
      </c>
      <c r="E312" t="s">
        <v>24</v>
      </c>
      <c r="F312" t="s">
        <v>36</v>
      </c>
      <c r="G312">
        <v>1</v>
      </c>
      <c r="H312">
        <v>1530</v>
      </c>
      <c r="I312">
        <v>0.15</v>
      </c>
      <c r="J312">
        <v>360</v>
      </c>
    </row>
    <row r="313" spans="1:10" x14ac:dyDescent="0.3">
      <c r="A313">
        <v>10314</v>
      </c>
      <c r="B313" s="1">
        <v>45877</v>
      </c>
      <c r="C313" t="s">
        <v>151</v>
      </c>
      <c r="D313" t="s">
        <v>15</v>
      </c>
      <c r="E313" t="s">
        <v>16</v>
      </c>
      <c r="F313" t="s">
        <v>13</v>
      </c>
      <c r="G313">
        <v>5</v>
      </c>
      <c r="H313">
        <v>67500</v>
      </c>
      <c r="I313">
        <v>0.1</v>
      </c>
      <c r="J313">
        <v>13500</v>
      </c>
    </row>
    <row r="314" spans="1:10" x14ac:dyDescent="0.3">
      <c r="A314">
        <v>10315</v>
      </c>
      <c r="B314" s="1">
        <v>45926</v>
      </c>
      <c r="C314" t="s">
        <v>119</v>
      </c>
      <c r="D314" t="s">
        <v>41</v>
      </c>
      <c r="E314" t="s">
        <v>27</v>
      </c>
      <c r="F314" t="s">
        <v>13</v>
      </c>
      <c r="G314">
        <v>1</v>
      </c>
      <c r="H314">
        <v>41250</v>
      </c>
      <c r="I314">
        <v>0.25</v>
      </c>
      <c r="J314">
        <v>-3850</v>
      </c>
    </row>
    <row r="315" spans="1:10" x14ac:dyDescent="0.3">
      <c r="A315">
        <v>10316</v>
      </c>
      <c r="B315" s="1">
        <v>45759</v>
      </c>
      <c r="C315" t="s">
        <v>28</v>
      </c>
      <c r="D315" t="s">
        <v>23</v>
      </c>
      <c r="E315" t="s">
        <v>24</v>
      </c>
      <c r="F315" t="s">
        <v>21</v>
      </c>
      <c r="G315">
        <v>3</v>
      </c>
      <c r="H315">
        <v>2880</v>
      </c>
      <c r="I315">
        <v>0.2</v>
      </c>
      <c r="J315">
        <v>540</v>
      </c>
    </row>
    <row r="316" spans="1:10" x14ac:dyDescent="0.3">
      <c r="A316">
        <v>10317</v>
      </c>
      <c r="B316" s="1">
        <v>45936</v>
      </c>
      <c r="C316" t="s">
        <v>109</v>
      </c>
      <c r="D316" t="s">
        <v>26</v>
      </c>
      <c r="E316" t="s">
        <v>27</v>
      </c>
      <c r="F316" t="s">
        <v>13</v>
      </c>
      <c r="G316">
        <v>2</v>
      </c>
      <c r="H316">
        <v>7650</v>
      </c>
      <c r="I316">
        <v>0.15</v>
      </c>
      <c r="J316">
        <v>270</v>
      </c>
    </row>
    <row r="317" spans="1:10" x14ac:dyDescent="0.3">
      <c r="A317">
        <v>10318</v>
      </c>
      <c r="B317" s="1">
        <v>45722</v>
      </c>
      <c r="C317" t="s">
        <v>131</v>
      </c>
      <c r="D317" t="s">
        <v>41</v>
      </c>
      <c r="E317" t="s">
        <v>27</v>
      </c>
      <c r="F317" t="s">
        <v>21</v>
      </c>
      <c r="G317">
        <v>1</v>
      </c>
      <c r="H317">
        <v>52250</v>
      </c>
      <c r="I317">
        <v>0.05</v>
      </c>
      <c r="J317">
        <v>7150</v>
      </c>
    </row>
    <row r="318" spans="1:10" x14ac:dyDescent="0.3">
      <c r="A318">
        <v>10319</v>
      </c>
      <c r="B318" s="1">
        <v>45750</v>
      </c>
      <c r="C318" t="s">
        <v>137</v>
      </c>
      <c r="D318" t="s">
        <v>11</v>
      </c>
      <c r="E318" t="s">
        <v>12</v>
      </c>
      <c r="F318" t="s">
        <v>18</v>
      </c>
      <c r="G318">
        <v>5</v>
      </c>
      <c r="H318">
        <v>855</v>
      </c>
      <c r="I318">
        <v>0.05</v>
      </c>
      <c r="J318">
        <v>360</v>
      </c>
    </row>
    <row r="319" spans="1:10" x14ac:dyDescent="0.3">
      <c r="A319">
        <v>10320</v>
      </c>
      <c r="B319" s="1">
        <v>45924</v>
      </c>
      <c r="C319" t="s">
        <v>161</v>
      </c>
      <c r="D319" t="s">
        <v>41</v>
      </c>
      <c r="E319" t="s">
        <v>27</v>
      </c>
      <c r="F319" t="s">
        <v>18</v>
      </c>
      <c r="G319">
        <v>3</v>
      </c>
      <c r="H319">
        <v>156750</v>
      </c>
      <c r="I319">
        <v>0.05</v>
      </c>
      <c r="J319">
        <v>21450</v>
      </c>
    </row>
    <row r="320" spans="1:10" x14ac:dyDescent="0.3">
      <c r="A320">
        <v>10321</v>
      </c>
      <c r="B320" s="1">
        <v>45660</v>
      </c>
      <c r="C320" t="s">
        <v>112</v>
      </c>
      <c r="D320" t="s">
        <v>34</v>
      </c>
      <c r="E320" t="s">
        <v>24</v>
      </c>
      <c r="F320" t="s">
        <v>21</v>
      </c>
      <c r="G320">
        <v>2</v>
      </c>
      <c r="H320">
        <v>3960</v>
      </c>
      <c r="I320">
        <v>0.1</v>
      </c>
      <c r="J320">
        <v>1100</v>
      </c>
    </row>
    <row r="321" spans="1:10" x14ac:dyDescent="0.3">
      <c r="A321">
        <v>10322</v>
      </c>
      <c r="B321" s="1">
        <v>45774</v>
      </c>
      <c r="C321" t="s">
        <v>162</v>
      </c>
      <c r="D321" t="s">
        <v>52</v>
      </c>
      <c r="E321" t="s">
        <v>24</v>
      </c>
      <c r="F321" t="s">
        <v>13</v>
      </c>
      <c r="G321">
        <v>2</v>
      </c>
      <c r="H321">
        <v>3240</v>
      </c>
      <c r="I321">
        <v>0.1</v>
      </c>
      <c r="J321">
        <v>900</v>
      </c>
    </row>
    <row r="322" spans="1:10" x14ac:dyDescent="0.3">
      <c r="A322">
        <v>10323</v>
      </c>
      <c r="B322" s="1">
        <v>45885</v>
      </c>
      <c r="C322" t="s">
        <v>22</v>
      </c>
      <c r="D322" t="s">
        <v>30</v>
      </c>
      <c r="E322" t="s">
        <v>27</v>
      </c>
      <c r="F322" t="s">
        <v>36</v>
      </c>
      <c r="G322">
        <v>5</v>
      </c>
      <c r="H322">
        <v>142500</v>
      </c>
      <c r="I322">
        <v>0.05</v>
      </c>
      <c r="J322">
        <v>19500</v>
      </c>
    </row>
    <row r="323" spans="1:10" x14ac:dyDescent="0.3">
      <c r="A323">
        <v>10324</v>
      </c>
      <c r="B323" s="1">
        <v>45678</v>
      </c>
      <c r="C323" t="s">
        <v>154</v>
      </c>
      <c r="D323" t="s">
        <v>11</v>
      </c>
      <c r="E323" t="s">
        <v>12</v>
      </c>
      <c r="F323" t="s">
        <v>36</v>
      </c>
      <c r="G323">
        <v>2</v>
      </c>
      <c r="H323">
        <v>306</v>
      </c>
      <c r="I323">
        <v>0.15</v>
      </c>
      <c r="J323">
        <v>108</v>
      </c>
    </row>
    <row r="324" spans="1:10" x14ac:dyDescent="0.3">
      <c r="A324">
        <v>10325</v>
      </c>
      <c r="B324" s="1">
        <v>45949</v>
      </c>
      <c r="C324" t="s">
        <v>51</v>
      </c>
      <c r="D324" t="s">
        <v>15</v>
      </c>
      <c r="E324" t="s">
        <v>16</v>
      </c>
      <c r="F324" t="s">
        <v>36</v>
      </c>
      <c r="G324">
        <v>4</v>
      </c>
      <c r="H324">
        <v>45000</v>
      </c>
      <c r="I324">
        <v>0.25</v>
      </c>
      <c r="J324">
        <v>1800</v>
      </c>
    </row>
    <row r="325" spans="1:10" x14ac:dyDescent="0.3">
      <c r="A325">
        <v>10326</v>
      </c>
      <c r="B325" s="1">
        <v>45932</v>
      </c>
      <c r="C325" t="s">
        <v>84</v>
      </c>
      <c r="D325" t="s">
        <v>17</v>
      </c>
      <c r="E325" t="s">
        <v>16</v>
      </c>
      <c r="F325" t="s">
        <v>21</v>
      </c>
      <c r="G325">
        <v>5</v>
      </c>
      <c r="H325">
        <v>54000</v>
      </c>
      <c r="I325">
        <v>0.1</v>
      </c>
      <c r="J325">
        <v>10800</v>
      </c>
    </row>
    <row r="326" spans="1:10" x14ac:dyDescent="0.3">
      <c r="A326">
        <v>10327</v>
      </c>
      <c r="B326" s="1">
        <v>45684</v>
      </c>
      <c r="C326" t="s">
        <v>43</v>
      </c>
      <c r="D326" t="s">
        <v>17</v>
      </c>
      <c r="E326" t="s">
        <v>16</v>
      </c>
      <c r="F326" t="s">
        <v>18</v>
      </c>
      <c r="G326">
        <v>5</v>
      </c>
      <c r="H326">
        <v>57000</v>
      </c>
      <c r="I326">
        <v>0.05</v>
      </c>
      <c r="J326">
        <v>13800</v>
      </c>
    </row>
    <row r="327" spans="1:10" x14ac:dyDescent="0.3">
      <c r="A327">
        <v>10328</v>
      </c>
      <c r="B327" s="1">
        <v>45659</v>
      </c>
      <c r="C327" t="s">
        <v>155</v>
      </c>
      <c r="D327" t="s">
        <v>34</v>
      </c>
      <c r="E327" t="s">
        <v>24</v>
      </c>
      <c r="F327" t="s">
        <v>18</v>
      </c>
      <c r="G327">
        <v>4</v>
      </c>
      <c r="H327">
        <v>7480</v>
      </c>
      <c r="I327">
        <v>0.15</v>
      </c>
      <c r="J327">
        <v>1760</v>
      </c>
    </row>
    <row r="328" spans="1:10" x14ac:dyDescent="0.3">
      <c r="A328">
        <v>10329</v>
      </c>
      <c r="B328" s="1">
        <v>45920</v>
      </c>
      <c r="C328" t="s">
        <v>116</v>
      </c>
      <c r="D328" t="s">
        <v>34</v>
      </c>
      <c r="E328" t="s">
        <v>24</v>
      </c>
      <c r="F328" t="s">
        <v>18</v>
      </c>
      <c r="G328">
        <v>1</v>
      </c>
      <c r="H328">
        <v>1980</v>
      </c>
      <c r="I328">
        <v>0.1</v>
      </c>
      <c r="J328">
        <v>550</v>
      </c>
    </row>
    <row r="329" spans="1:10" x14ac:dyDescent="0.3">
      <c r="A329">
        <v>10330</v>
      </c>
      <c r="B329" s="1">
        <v>45969</v>
      </c>
      <c r="C329" t="s">
        <v>60</v>
      </c>
      <c r="D329" t="s">
        <v>34</v>
      </c>
      <c r="E329" t="s">
        <v>24</v>
      </c>
      <c r="F329" t="s">
        <v>18</v>
      </c>
      <c r="G329">
        <v>5</v>
      </c>
      <c r="H329">
        <v>10450</v>
      </c>
      <c r="I329">
        <v>0.05</v>
      </c>
      <c r="J329">
        <v>3300</v>
      </c>
    </row>
    <row r="330" spans="1:10" x14ac:dyDescent="0.3">
      <c r="A330">
        <v>10331</v>
      </c>
      <c r="B330" s="1">
        <v>45920</v>
      </c>
      <c r="C330" t="s">
        <v>65</v>
      </c>
      <c r="D330" t="s">
        <v>17</v>
      </c>
      <c r="E330" t="s">
        <v>16</v>
      </c>
      <c r="F330" t="s">
        <v>13</v>
      </c>
      <c r="G330">
        <v>4</v>
      </c>
      <c r="H330">
        <v>43200</v>
      </c>
      <c r="I330">
        <v>0.1</v>
      </c>
      <c r="J330">
        <v>8640</v>
      </c>
    </row>
    <row r="331" spans="1:10" x14ac:dyDescent="0.3">
      <c r="A331">
        <v>10332</v>
      </c>
      <c r="B331" s="1">
        <v>45798</v>
      </c>
      <c r="C331" t="s">
        <v>141</v>
      </c>
      <c r="D331" t="s">
        <v>52</v>
      </c>
      <c r="E331" t="s">
        <v>24</v>
      </c>
      <c r="F331" t="s">
        <v>21</v>
      </c>
      <c r="G331">
        <v>5</v>
      </c>
      <c r="H331">
        <v>8100</v>
      </c>
      <c r="I331">
        <v>0.1</v>
      </c>
      <c r="J331">
        <v>2250</v>
      </c>
    </row>
    <row r="332" spans="1:10" x14ac:dyDescent="0.3">
      <c r="A332">
        <v>10333</v>
      </c>
      <c r="B332" s="1">
        <v>45683</v>
      </c>
      <c r="C332" t="s">
        <v>94</v>
      </c>
      <c r="D332" t="s">
        <v>20</v>
      </c>
      <c r="E332" t="s">
        <v>12</v>
      </c>
      <c r="F332" t="s">
        <v>36</v>
      </c>
      <c r="G332">
        <v>5</v>
      </c>
      <c r="H332">
        <v>1000</v>
      </c>
      <c r="I332">
        <v>0.2</v>
      </c>
      <c r="J332">
        <v>312.5</v>
      </c>
    </row>
    <row r="333" spans="1:10" x14ac:dyDescent="0.3">
      <c r="A333">
        <v>10334</v>
      </c>
      <c r="B333" s="1">
        <v>45827</v>
      </c>
      <c r="C333" t="s">
        <v>10</v>
      </c>
      <c r="D333" t="s">
        <v>34</v>
      </c>
      <c r="E333" t="s">
        <v>24</v>
      </c>
      <c r="F333" t="s">
        <v>18</v>
      </c>
      <c r="G333">
        <v>2</v>
      </c>
      <c r="H333">
        <v>4180</v>
      </c>
      <c r="I333">
        <v>0.05</v>
      </c>
      <c r="J333">
        <v>1320</v>
      </c>
    </row>
    <row r="334" spans="1:10" x14ac:dyDescent="0.3">
      <c r="A334">
        <v>10335</v>
      </c>
      <c r="B334" s="1">
        <v>45725</v>
      </c>
      <c r="C334" t="s">
        <v>160</v>
      </c>
      <c r="D334" t="s">
        <v>41</v>
      </c>
      <c r="E334" t="s">
        <v>27</v>
      </c>
      <c r="F334" t="s">
        <v>18</v>
      </c>
      <c r="G334">
        <v>2</v>
      </c>
      <c r="H334">
        <v>104500</v>
      </c>
      <c r="I334">
        <v>0.05</v>
      </c>
      <c r="J334">
        <v>14300</v>
      </c>
    </row>
    <row r="335" spans="1:10" x14ac:dyDescent="0.3">
      <c r="A335">
        <v>10336</v>
      </c>
      <c r="B335" s="1">
        <v>45859</v>
      </c>
      <c r="C335" t="s">
        <v>38</v>
      </c>
      <c r="D335" t="s">
        <v>26</v>
      </c>
      <c r="E335" t="s">
        <v>27</v>
      </c>
      <c r="F335" t="s">
        <v>21</v>
      </c>
      <c r="G335">
        <v>4</v>
      </c>
      <c r="H335">
        <v>16200</v>
      </c>
      <c r="I335">
        <v>0.1</v>
      </c>
      <c r="J335">
        <v>1440</v>
      </c>
    </row>
    <row r="336" spans="1:10" x14ac:dyDescent="0.3">
      <c r="A336">
        <v>10337</v>
      </c>
      <c r="B336" s="1">
        <v>45899</v>
      </c>
      <c r="C336" t="s">
        <v>82</v>
      </c>
      <c r="D336" t="s">
        <v>26</v>
      </c>
      <c r="E336" t="s">
        <v>27</v>
      </c>
      <c r="F336" t="s">
        <v>36</v>
      </c>
      <c r="G336">
        <v>4</v>
      </c>
      <c r="H336">
        <v>18000</v>
      </c>
      <c r="I336">
        <v>0</v>
      </c>
      <c r="J336">
        <v>3240</v>
      </c>
    </row>
    <row r="337" spans="1:10" x14ac:dyDescent="0.3">
      <c r="A337">
        <v>10338</v>
      </c>
      <c r="B337" s="1">
        <v>45818</v>
      </c>
      <c r="C337" t="s">
        <v>141</v>
      </c>
      <c r="D337" t="s">
        <v>41</v>
      </c>
      <c r="E337" t="s">
        <v>27</v>
      </c>
      <c r="F337" t="s">
        <v>13</v>
      </c>
      <c r="G337">
        <v>3</v>
      </c>
      <c r="H337">
        <v>132000</v>
      </c>
      <c r="I337">
        <v>0.2</v>
      </c>
      <c r="J337">
        <v>-3300</v>
      </c>
    </row>
    <row r="338" spans="1:10" x14ac:dyDescent="0.3">
      <c r="A338">
        <v>10339</v>
      </c>
      <c r="B338" s="1">
        <v>45817</v>
      </c>
      <c r="C338" t="s">
        <v>106</v>
      </c>
      <c r="D338" t="s">
        <v>41</v>
      </c>
      <c r="E338" t="s">
        <v>27</v>
      </c>
      <c r="F338" t="s">
        <v>21</v>
      </c>
      <c r="G338">
        <v>5</v>
      </c>
      <c r="H338">
        <v>247500</v>
      </c>
      <c r="I338">
        <v>0.1</v>
      </c>
      <c r="J338">
        <v>22000</v>
      </c>
    </row>
    <row r="339" spans="1:10" x14ac:dyDescent="0.3">
      <c r="A339">
        <v>10340</v>
      </c>
      <c r="B339" s="1">
        <v>45911</v>
      </c>
      <c r="C339" t="s">
        <v>140</v>
      </c>
      <c r="D339" t="s">
        <v>23</v>
      </c>
      <c r="E339" t="s">
        <v>24</v>
      </c>
      <c r="F339" t="s">
        <v>18</v>
      </c>
      <c r="G339">
        <v>5</v>
      </c>
      <c r="H339">
        <v>5400</v>
      </c>
      <c r="I339">
        <v>0.1</v>
      </c>
      <c r="J339">
        <v>1500</v>
      </c>
    </row>
    <row r="340" spans="1:10" x14ac:dyDescent="0.3">
      <c r="A340">
        <v>10341</v>
      </c>
      <c r="B340" s="1">
        <v>45699</v>
      </c>
      <c r="C340" t="s">
        <v>130</v>
      </c>
      <c r="D340" t="s">
        <v>26</v>
      </c>
      <c r="E340" t="s">
        <v>27</v>
      </c>
      <c r="F340" t="s">
        <v>13</v>
      </c>
      <c r="G340">
        <v>5</v>
      </c>
      <c r="H340">
        <v>19125</v>
      </c>
      <c r="I340">
        <v>0.15</v>
      </c>
      <c r="J340">
        <v>675</v>
      </c>
    </row>
    <row r="341" spans="1:10" x14ac:dyDescent="0.3">
      <c r="A341">
        <v>10342</v>
      </c>
      <c r="B341" s="1">
        <v>45937</v>
      </c>
      <c r="C341" t="s">
        <v>71</v>
      </c>
      <c r="D341" t="s">
        <v>11</v>
      </c>
      <c r="E341" t="s">
        <v>12</v>
      </c>
      <c r="F341" t="s">
        <v>36</v>
      </c>
      <c r="G341">
        <v>1</v>
      </c>
      <c r="H341">
        <v>153</v>
      </c>
      <c r="I341">
        <v>0.15</v>
      </c>
      <c r="J341">
        <v>54</v>
      </c>
    </row>
    <row r="342" spans="1:10" x14ac:dyDescent="0.3">
      <c r="A342">
        <v>10343</v>
      </c>
      <c r="B342" s="1">
        <v>45945</v>
      </c>
      <c r="C342" t="s">
        <v>105</v>
      </c>
      <c r="D342" t="s">
        <v>17</v>
      </c>
      <c r="E342" t="s">
        <v>16</v>
      </c>
      <c r="F342" t="s">
        <v>21</v>
      </c>
      <c r="G342">
        <v>2</v>
      </c>
      <c r="H342">
        <v>22800</v>
      </c>
      <c r="I342">
        <v>0.05</v>
      </c>
      <c r="J342">
        <v>5520</v>
      </c>
    </row>
    <row r="343" spans="1:10" x14ac:dyDescent="0.3">
      <c r="A343">
        <v>10344</v>
      </c>
      <c r="B343" s="1">
        <v>45730</v>
      </c>
      <c r="C343" t="s">
        <v>97</v>
      </c>
      <c r="D343" t="s">
        <v>17</v>
      </c>
      <c r="E343" t="s">
        <v>16</v>
      </c>
      <c r="F343" t="s">
        <v>13</v>
      </c>
      <c r="G343">
        <v>5</v>
      </c>
      <c r="H343">
        <v>48000</v>
      </c>
      <c r="I343">
        <v>0.2</v>
      </c>
      <c r="J343">
        <v>4800</v>
      </c>
    </row>
    <row r="344" spans="1:10" x14ac:dyDescent="0.3">
      <c r="A344">
        <v>10345</v>
      </c>
      <c r="B344" s="1">
        <v>45926</v>
      </c>
      <c r="C344" t="s">
        <v>137</v>
      </c>
      <c r="D344" t="s">
        <v>20</v>
      </c>
      <c r="E344" t="s">
        <v>12</v>
      </c>
      <c r="F344" t="s">
        <v>18</v>
      </c>
      <c r="G344">
        <v>1</v>
      </c>
      <c r="H344">
        <v>225</v>
      </c>
      <c r="I344">
        <v>0.1</v>
      </c>
      <c r="J344">
        <v>87.5</v>
      </c>
    </row>
    <row r="345" spans="1:10" x14ac:dyDescent="0.3">
      <c r="A345">
        <v>10346</v>
      </c>
      <c r="B345" s="1">
        <v>45684</v>
      </c>
      <c r="C345" t="s">
        <v>163</v>
      </c>
      <c r="D345" t="s">
        <v>30</v>
      </c>
      <c r="E345" t="s">
        <v>27</v>
      </c>
      <c r="F345" t="s">
        <v>18</v>
      </c>
      <c r="G345">
        <v>4</v>
      </c>
      <c r="H345">
        <v>102000</v>
      </c>
      <c r="I345">
        <v>0.15</v>
      </c>
      <c r="J345">
        <v>3600</v>
      </c>
    </row>
    <row r="346" spans="1:10" x14ac:dyDescent="0.3">
      <c r="A346">
        <v>10347</v>
      </c>
      <c r="B346" s="1">
        <v>45957</v>
      </c>
      <c r="C346" t="s">
        <v>164</v>
      </c>
      <c r="D346" t="s">
        <v>20</v>
      </c>
      <c r="E346" t="s">
        <v>12</v>
      </c>
      <c r="F346" t="s">
        <v>21</v>
      </c>
      <c r="G346">
        <v>2</v>
      </c>
      <c r="H346">
        <v>425</v>
      </c>
      <c r="I346">
        <v>0.15</v>
      </c>
      <c r="J346">
        <v>150</v>
      </c>
    </row>
    <row r="347" spans="1:10" x14ac:dyDescent="0.3">
      <c r="A347">
        <v>10348</v>
      </c>
      <c r="B347" s="1">
        <v>45915</v>
      </c>
      <c r="C347" t="s">
        <v>165</v>
      </c>
      <c r="D347" t="s">
        <v>26</v>
      </c>
      <c r="E347" t="s">
        <v>27</v>
      </c>
      <c r="F347" t="s">
        <v>13</v>
      </c>
      <c r="G347">
        <v>2</v>
      </c>
      <c r="H347">
        <v>6750</v>
      </c>
      <c r="I347">
        <v>0.25</v>
      </c>
      <c r="J347">
        <v>-630</v>
      </c>
    </row>
    <row r="348" spans="1:10" x14ac:dyDescent="0.3">
      <c r="A348">
        <v>10349</v>
      </c>
      <c r="B348" s="1">
        <v>45773</v>
      </c>
      <c r="C348" t="s">
        <v>139</v>
      </c>
      <c r="D348" t="s">
        <v>26</v>
      </c>
      <c r="E348" t="s">
        <v>27</v>
      </c>
      <c r="F348" t="s">
        <v>21</v>
      </c>
      <c r="G348">
        <v>2</v>
      </c>
      <c r="H348">
        <v>8100</v>
      </c>
      <c r="I348">
        <v>0.1</v>
      </c>
      <c r="J348">
        <v>720</v>
      </c>
    </row>
    <row r="349" spans="1:10" x14ac:dyDescent="0.3">
      <c r="A349">
        <v>10350</v>
      </c>
      <c r="B349" s="1">
        <v>45944</v>
      </c>
      <c r="C349" t="s">
        <v>78</v>
      </c>
      <c r="D349" t="s">
        <v>34</v>
      </c>
      <c r="E349" t="s">
        <v>24</v>
      </c>
      <c r="F349" t="s">
        <v>13</v>
      </c>
      <c r="G349">
        <v>4</v>
      </c>
      <c r="H349">
        <v>6600</v>
      </c>
      <c r="I349">
        <v>0.25</v>
      </c>
      <c r="J349">
        <v>880</v>
      </c>
    </row>
    <row r="350" spans="1:10" x14ac:dyDescent="0.3">
      <c r="A350">
        <v>10351</v>
      </c>
      <c r="B350" s="1">
        <v>45778</v>
      </c>
      <c r="C350" t="s">
        <v>138</v>
      </c>
      <c r="D350" t="s">
        <v>11</v>
      </c>
      <c r="E350" t="s">
        <v>12</v>
      </c>
      <c r="F350" t="s">
        <v>18</v>
      </c>
      <c r="G350">
        <v>2</v>
      </c>
      <c r="H350">
        <v>360</v>
      </c>
      <c r="I350">
        <v>0</v>
      </c>
      <c r="J350">
        <v>162</v>
      </c>
    </row>
    <row r="351" spans="1:10" x14ac:dyDescent="0.3">
      <c r="A351">
        <v>10352</v>
      </c>
      <c r="B351" s="1">
        <v>45660</v>
      </c>
      <c r="C351" t="s">
        <v>56</v>
      </c>
      <c r="D351" t="s">
        <v>41</v>
      </c>
      <c r="E351" t="s">
        <v>27</v>
      </c>
      <c r="F351" t="s">
        <v>21</v>
      </c>
      <c r="G351">
        <v>4</v>
      </c>
      <c r="H351">
        <v>165000</v>
      </c>
      <c r="I351">
        <v>0.25</v>
      </c>
      <c r="J351">
        <v>-15400</v>
      </c>
    </row>
    <row r="352" spans="1:10" x14ac:dyDescent="0.3">
      <c r="A352">
        <v>10353</v>
      </c>
      <c r="B352" s="1">
        <v>45775</v>
      </c>
      <c r="C352" t="s">
        <v>128</v>
      </c>
      <c r="D352" t="s">
        <v>11</v>
      </c>
      <c r="E352" t="s">
        <v>12</v>
      </c>
      <c r="F352" t="s">
        <v>18</v>
      </c>
      <c r="G352">
        <v>4</v>
      </c>
      <c r="H352">
        <v>540</v>
      </c>
      <c r="I352">
        <v>0.25</v>
      </c>
      <c r="J352">
        <v>144</v>
      </c>
    </row>
    <row r="353" spans="1:10" x14ac:dyDescent="0.3">
      <c r="A353">
        <v>10354</v>
      </c>
      <c r="B353" s="1">
        <v>45943</v>
      </c>
      <c r="C353" t="s">
        <v>163</v>
      </c>
      <c r="D353" t="s">
        <v>52</v>
      </c>
      <c r="E353" t="s">
        <v>24</v>
      </c>
      <c r="F353" t="s">
        <v>18</v>
      </c>
      <c r="G353">
        <v>4</v>
      </c>
      <c r="H353">
        <v>6840</v>
      </c>
      <c r="I353">
        <v>0.05</v>
      </c>
      <c r="J353">
        <v>2160</v>
      </c>
    </row>
    <row r="354" spans="1:10" x14ac:dyDescent="0.3">
      <c r="A354">
        <v>10355</v>
      </c>
      <c r="B354" s="1">
        <v>45945</v>
      </c>
      <c r="C354" t="s">
        <v>103</v>
      </c>
      <c r="D354" t="s">
        <v>20</v>
      </c>
      <c r="E354" t="s">
        <v>12</v>
      </c>
      <c r="F354" t="s">
        <v>18</v>
      </c>
      <c r="G354">
        <v>2</v>
      </c>
      <c r="H354">
        <v>425</v>
      </c>
      <c r="I354">
        <v>0.15</v>
      </c>
      <c r="J354">
        <v>150</v>
      </c>
    </row>
    <row r="355" spans="1:10" x14ac:dyDescent="0.3">
      <c r="A355">
        <v>10356</v>
      </c>
      <c r="B355" s="1">
        <v>45799</v>
      </c>
      <c r="C355" t="s">
        <v>46</v>
      </c>
      <c r="D355" t="s">
        <v>20</v>
      </c>
      <c r="E355" t="s">
        <v>12</v>
      </c>
      <c r="F355" t="s">
        <v>13</v>
      </c>
      <c r="G355">
        <v>4</v>
      </c>
      <c r="H355">
        <v>850</v>
      </c>
      <c r="I355">
        <v>0.15</v>
      </c>
      <c r="J355">
        <v>300</v>
      </c>
    </row>
    <row r="356" spans="1:10" x14ac:dyDescent="0.3">
      <c r="A356">
        <v>10357</v>
      </c>
      <c r="B356" s="1">
        <v>46018</v>
      </c>
      <c r="C356" t="s">
        <v>112</v>
      </c>
      <c r="D356" t="s">
        <v>11</v>
      </c>
      <c r="E356" t="s">
        <v>12</v>
      </c>
      <c r="F356" t="s">
        <v>21</v>
      </c>
      <c r="G356">
        <v>2</v>
      </c>
      <c r="H356">
        <v>342</v>
      </c>
      <c r="I356">
        <v>0.05</v>
      </c>
      <c r="J356">
        <v>144</v>
      </c>
    </row>
    <row r="357" spans="1:10" x14ac:dyDescent="0.3">
      <c r="A357">
        <v>10358</v>
      </c>
      <c r="B357" s="1">
        <v>45980</v>
      </c>
      <c r="C357" t="s">
        <v>138</v>
      </c>
      <c r="D357" t="s">
        <v>23</v>
      </c>
      <c r="E357" t="s">
        <v>24</v>
      </c>
      <c r="F357" t="s">
        <v>21</v>
      </c>
      <c r="G357">
        <v>1</v>
      </c>
      <c r="H357">
        <v>1080</v>
      </c>
      <c r="I357">
        <v>0.1</v>
      </c>
      <c r="J357">
        <v>300</v>
      </c>
    </row>
    <row r="358" spans="1:10" x14ac:dyDescent="0.3">
      <c r="A358">
        <v>10359</v>
      </c>
      <c r="B358" s="1">
        <v>45973</v>
      </c>
      <c r="C358" t="s">
        <v>83</v>
      </c>
      <c r="D358" t="s">
        <v>26</v>
      </c>
      <c r="E358" t="s">
        <v>27</v>
      </c>
      <c r="F358" t="s">
        <v>18</v>
      </c>
      <c r="G358">
        <v>3</v>
      </c>
      <c r="H358">
        <v>12150</v>
      </c>
      <c r="I358">
        <v>0.1</v>
      </c>
      <c r="J358">
        <v>1080</v>
      </c>
    </row>
    <row r="359" spans="1:10" x14ac:dyDescent="0.3">
      <c r="A359">
        <v>10360</v>
      </c>
      <c r="B359" s="1">
        <v>45699</v>
      </c>
      <c r="C359" t="s">
        <v>35</v>
      </c>
      <c r="D359" t="s">
        <v>34</v>
      </c>
      <c r="E359" t="s">
        <v>24</v>
      </c>
      <c r="F359" t="s">
        <v>13</v>
      </c>
      <c r="G359">
        <v>4</v>
      </c>
      <c r="H359">
        <v>6600</v>
      </c>
      <c r="I359">
        <v>0.25</v>
      </c>
      <c r="J359">
        <v>880</v>
      </c>
    </row>
    <row r="360" spans="1:10" x14ac:dyDescent="0.3">
      <c r="A360">
        <v>10361</v>
      </c>
      <c r="B360" s="1">
        <v>45791</v>
      </c>
      <c r="C360" t="s">
        <v>166</v>
      </c>
      <c r="D360" t="s">
        <v>26</v>
      </c>
      <c r="E360" t="s">
        <v>27</v>
      </c>
      <c r="F360" t="s">
        <v>18</v>
      </c>
      <c r="G360">
        <v>2</v>
      </c>
      <c r="H360">
        <v>7200</v>
      </c>
      <c r="I360">
        <v>0.2</v>
      </c>
      <c r="J360">
        <v>-180</v>
      </c>
    </row>
    <row r="361" spans="1:10" x14ac:dyDescent="0.3">
      <c r="A361">
        <v>10362</v>
      </c>
      <c r="B361" s="1">
        <v>45820</v>
      </c>
      <c r="C361" t="s">
        <v>47</v>
      </c>
      <c r="D361" t="s">
        <v>11</v>
      </c>
      <c r="E361" t="s">
        <v>12</v>
      </c>
      <c r="F361" t="s">
        <v>36</v>
      </c>
      <c r="G361">
        <v>4</v>
      </c>
      <c r="H361">
        <v>612</v>
      </c>
      <c r="I361">
        <v>0.15</v>
      </c>
      <c r="J361">
        <v>216</v>
      </c>
    </row>
    <row r="362" spans="1:10" x14ac:dyDescent="0.3">
      <c r="A362">
        <v>10363</v>
      </c>
      <c r="B362" s="1">
        <v>45933</v>
      </c>
      <c r="C362" t="s">
        <v>167</v>
      </c>
      <c r="D362" t="s">
        <v>30</v>
      </c>
      <c r="E362" t="s">
        <v>27</v>
      </c>
      <c r="F362" t="s">
        <v>13</v>
      </c>
      <c r="G362">
        <v>3</v>
      </c>
      <c r="H362">
        <v>85500</v>
      </c>
      <c r="I362">
        <v>0.05</v>
      </c>
      <c r="J362">
        <v>11700</v>
      </c>
    </row>
    <row r="363" spans="1:10" x14ac:dyDescent="0.3">
      <c r="A363">
        <v>10364</v>
      </c>
      <c r="B363" s="1">
        <v>45946</v>
      </c>
      <c r="C363" t="s">
        <v>116</v>
      </c>
      <c r="D363" t="s">
        <v>30</v>
      </c>
      <c r="E363" t="s">
        <v>27</v>
      </c>
      <c r="F363" t="s">
        <v>21</v>
      </c>
      <c r="G363">
        <v>1</v>
      </c>
      <c r="H363">
        <v>27000</v>
      </c>
      <c r="I363">
        <v>0.1</v>
      </c>
      <c r="J363">
        <v>2400</v>
      </c>
    </row>
    <row r="364" spans="1:10" x14ac:dyDescent="0.3">
      <c r="A364">
        <v>10365</v>
      </c>
      <c r="B364" s="1">
        <v>45682</v>
      </c>
      <c r="C364" t="s">
        <v>100</v>
      </c>
      <c r="D364" t="s">
        <v>41</v>
      </c>
      <c r="E364" t="s">
        <v>27</v>
      </c>
      <c r="F364" t="s">
        <v>13</v>
      </c>
      <c r="G364">
        <v>5</v>
      </c>
      <c r="H364">
        <v>261250</v>
      </c>
      <c r="I364">
        <v>0.05</v>
      </c>
      <c r="J364">
        <v>35750</v>
      </c>
    </row>
    <row r="365" spans="1:10" x14ac:dyDescent="0.3">
      <c r="A365">
        <v>10366</v>
      </c>
      <c r="B365" s="1">
        <v>45682</v>
      </c>
      <c r="C365" t="s">
        <v>124</v>
      </c>
      <c r="D365" t="s">
        <v>30</v>
      </c>
      <c r="E365" t="s">
        <v>27</v>
      </c>
      <c r="F365" t="s">
        <v>18</v>
      </c>
      <c r="G365">
        <v>5</v>
      </c>
      <c r="H365">
        <v>150000</v>
      </c>
      <c r="I365">
        <v>0</v>
      </c>
      <c r="J365">
        <v>27000</v>
      </c>
    </row>
    <row r="366" spans="1:10" x14ac:dyDescent="0.3">
      <c r="A366">
        <v>10367</v>
      </c>
      <c r="B366" s="1">
        <v>45817</v>
      </c>
      <c r="C366" t="s">
        <v>159</v>
      </c>
      <c r="D366" t="s">
        <v>17</v>
      </c>
      <c r="E366" t="s">
        <v>16</v>
      </c>
      <c r="F366" t="s">
        <v>36</v>
      </c>
      <c r="G366">
        <v>2</v>
      </c>
      <c r="H366">
        <v>22800</v>
      </c>
      <c r="I366">
        <v>0.05</v>
      </c>
      <c r="J366">
        <v>5520</v>
      </c>
    </row>
    <row r="367" spans="1:10" x14ac:dyDescent="0.3">
      <c r="A367">
        <v>10368</v>
      </c>
      <c r="B367" s="1">
        <v>45944</v>
      </c>
      <c r="C367" t="s">
        <v>128</v>
      </c>
      <c r="D367" t="s">
        <v>30</v>
      </c>
      <c r="E367" t="s">
        <v>27</v>
      </c>
      <c r="F367" t="s">
        <v>36</v>
      </c>
      <c r="G367">
        <v>4</v>
      </c>
      <c r="H367">
        <v>114000</v>
      </c>
      <c r="I367">
        <v>0.05</v>
      </c>
      <c r="J367">
        <v>15600</v>
      </c>
    </row>
    <row r="368" spans="1:10" x14ac:dyDescent="0.3">
      <c r="A368">
        <v>10369</v>
      </c>
      <c r="B368" s="1">
        <v>45924</v>
      </c>
      <c r="C368" t="s">
        <v>168</v>
      </c>
      <c r="D368" t="s">
        <v>30</v>
      </c>
      <c r="E368" t="s">
        <v>27</v>
      </c>
      <c r="F368" t="s">
        <v>36</v>
      </c>
      <c r="G368">
        <v>2</v>
      </c>
      <c r="H368">
        <v>57000</v>
      </c>
      <c r="I368">
        <v>0.05</v>
      </c>
      <c r="J368">
        <v>7800</v>
      </c>
    </row>
    <row r="369" spans="1:10" x14ac:dyDescent="0.3">
      <c r="A369">
        <v>10370</v>
      </c>
      <c r="B369" s="1">
        <v>45806</v>
      </c>
      <c r="C369" t="s">
        <v>119</v>
      </c>
      <c r="D369" t="s">
        <v>23</v>
      </c>
      <c r="E369" t="s">
        <v>24</v>
      </c>
      <c r="F369" t="s">
        <v>18</v>
      </c>
      <c r="G369">
        <v>3</v>
      </c>
      <c r="H369">
        <v>3600</v>
      </c>
      <c r="I369">
        <v>0</v>
      </c>
      <c r="J369">
        <v>1260</v>
      </c>
    </row>
    <row r="370" spans="1:10" x14ac:dyDescent="0.3">
      <c r="A370">
        <v>10371</v>
      </c>
      <c r="B370" s="1">
        <v>45917</v>
      </c>
      <c r="C370" t="s">
        <v>50</v>
      </c>
      <c r="D370" t="s">
        <v>26</v>
      </c>
      <c r="E370" t="s">
        <v>27</v>
      </c>
      <c r="F370" t="s">
        <v>18</v>
      </c>
      <c r="G370">
        <v>4</v>
      </c>
      <c r="H370">
        <v>16200</v>
      </c>
      <c r="I370">
        <v>0.1</v>
      </c>
      <c r="J370">
        <v>1440</v>
      </c>
    </row>
    <row r="371" spans="1:10" x14ac:dyDescent="0.3">
      <c r="A371">
        <v>10372</v>
      </c>
      <c r="B371" s="1">
        <v>45965</v>
      </c>
      <c r="C371" t="s">
        <v>114</v>
      </c>
      <c r="D371" t="s">
        <v>41</v>
      </c>
      <c r="E371" t="s">
        <v>27</v>
      </c>
      <c r="F371" t="s">
        <v>18</v>
      </c>
      <c r="G371">
        <v>5</v>
      </c>
      <c r="H371">
        <v>247500</v>
      </c>
      <c r="I371">
        <v>0.1</v>
      </c>
      <c r="J371">
        <v>22000</v>
      </c>
    </row>
    <row r="372" spans="1:10" x14ac:dyDescent="0.3">
      <c r="A372">
        <v>10373</v>
      </c>
      <c r="B372" s="1">
        <v>45773</v>
      </c>
      <c r="C372" t="s">
        <v>80</v>
      </c>
      <c r="D372" t="s">
        <v>20</v>
      </c>
      <c r="E372" t="s">
        <v>12</v>
      </c>
      <c r="F372" t="s">
        <v>18</v>
      </c>
      <c r="G372">
        <v>2</v>
      </c>
      <c r="H372">
        <v>500</v>
      </c>
      <c r="I372">
        <v>0</v>
      </c>
      <c r="J372">
        <v>225</v>
      </c>
    </row>
    <row r="373" spans="1:10" x14ac:dyDescent="0.3">
      <c r="A373">
        <v>10374</v>
      </c>
      <c r="B373" s="1">
        <v>45671</v>
      </c>
      <c r="C373" t="s">
        <v>76</v>
      </c>
      <c r="D373" t="s">
        <v>26</v>
      </c>
      <c r="E373" t="s">
        <v>27</v>
      </c>
      <c r="F373" t="s">
        <v>13</v>
      </c>
      <c r="G373">
        <v>3</v>
      </c>
      <c r="H373">
        <v>12150</v>
      </c>
      <c r="I373">
        <v>0.1</v>
      </c>
      <c r="J373">
        <v>1080</v>
      </c>
    </row>
    <row r="374" spans="1:10" x14ac:dyDescent="0.3">
      <c r="A374">
        <v>10375</v>
      </c>
      <c r="B374" s="1">
        <v>45903</v>
      </c>
      <c r="C374" t="s">
        <v>124</v>
      </c>
      <c r="D374" t="s">
        <v>11</v>
      </c>
      <c r="E374" t="s">
        <v>12</v>
      </c>
      <c r="F374" t="s">
        <v>13</v>
      </c>
      <c r="G374">
        <v>2</v>
      </c>
      <c r="H374">
        <v>360</v>
      </c>
      <c r="I374">
        <v>0</v>
      </c>
      <c r="J374">
        <v>162</v>
      </c>
    </row>
    <row r="375" spans="1:10" x14ac:dyDescent="0.3">
      <c r="A375">
        <v>10376</v>
      </c>
      <c r="B375" s="1">
        <v>45722</v>
      </c>
      <c r="C375" t="s">
        <v>92</v>
      </c>
      <c r="D375" t="s">
        <v>34</v>
      </c>
      <c r="E375" t="s">
        <v>24</v>
      </c>
      <c r="F375" t="s">
        <v>13</v>
      </c>
      <c r="G375">
        <v>2</v>
      </c>
      <c r="H375">
        <v>4180</v>
      </c>
      <c r="I375">
        <v>0.05</v>
      </c>
      <c r="J375">
        <v>1320</v>
      </c>
    </row>
    <row r="376" spans="1:10" x14ac:dyDescent="0.3">
      <c r="A376">
        <v>10377</v>
      </c>
      <c r="B376" s="1">
        <v>45838</v>
      </c>
      <c r="C376" t="s">
        <v>35</v>
      </c>
      <c r="D376" t="s">
        <v>34</v>
      </c>
      <c r="E376" t="s">
        <v>24</v>
      </c>
      <c r="F376" t="s">
        <v>13</v>
      </c>
      <c r="G376">
        <v>2</v>
      </c>
      <c r="H376">
        <v>3960</v>
      </c>
      <c r="I376">
        <v>0.1</v>
      </c>
      <c r="J376">
        <v>1100</v>
      </c>
    </row>
    <row r="377" spans="1:10" x14ac:dyDescent="0.3">
      <c r="A377">
        <v>10378</v>
      </c>
      <c r="B377" s="1">
        <v>45845</v>
      </c>
      <c r="C377" t="s">
        <v>39</v>
      </c>
      <c r="D377" t="s">
        <v>17</v>
      </c>
      <c r="E377" t="s">
        <v>16</v>
      </c>
      <c r="F377" t="s">
        <v>36</v>
      </c>
      <c r="G377">
        <v>1</v>
      </c>
      <c r="H377">
        <v>12000</v>
      </c>
      <c r="I377">
        <v>0</v>
      </c>
      <c r="J377">
        <v>3360</v>
      </c>
    </row>
    <row r="378" spans="1:10" x14ac:dyDescent="0.3">
      <c r="A378">
        <v>10379</v>
      </c>
      <c r="B378" s="1">
        <v>45774</v>
      </c>
      <c r="C378" t="s">
        <v>74</v>
      </c>
      <c r="D378" t="s">
        <v>15</v>
      </c>
      <c r="E378" t="s">
        <v>16</v>
      </c>
      <c r="F378" t="s">
        <v>21</v>
      </c>
      <c r="G378">
        <v>4</v>
      </c>
      <c r="H378">
        <v>57000</v>
      </c>
      <c r="I378">
        <v>0.05</v>
      </c>
      <c r="J378">
        <v>13800</v>
      </c>
    </row>
    <row r="379" spans="1:10" x14ac:dyDescent="0.3">
      <c r="A379">
        <v>10380</v>
      </c>
      <c r="B379" s="1">
        <v>45909</v>
      </c>
      <c r="C379" t="s">
        <v>35</v>
      </c>
      <c r="D379" t="s">
        <v>17</v>
      </c>
      <c r="E379" t="s">
        <v>16</v>
      </c>
      <c r="F379" t="s">
        <v>18</v>
      </c>
      <c r="G379">
        <v>2</v>
      </c>
      <c r="H379">
        <v>22800</v>
      </c>
      <c r="I379">
        <v>0.05</v>
      </c>
      <c r="J379">
        <v>5520</v>
      </c>
    </row>
    <row r="380" spans="1:10" x14ac:dyDescent="0.3">
      <c r="A380">
        <v>10381</v>
      </c>
      <c r="B380" s="1">
        <v>45699</v>
      </c>
      <c r="C380" t="s">
        <v>156</v>
      </c>
      <c r="D380" t="s">
        <v>26</v>
      </c>
      <c r="E380" t="s">
        <v>27</v>
      </c>
      <c r="F380" t="s">
        <v>21</v>
      </c>
      <c r="G380">
        <v>1</v>
      </c>
      <c r="H380">
        <v>4050</v>
      </c>
      <c r="I380">
        <v>0.1</v>
      </c>
      <c r="J380">
        <v>360</v>
      </c>
    </row>
    <row r="381" spans="1:10" x14ac:dyDescent="0.3">
      <c r="A381">
        <v>10382</v>
      </c>
      <c r="B381" s="1">
        <v>45777</v>
      </c>
      <c r="C381" t="s">
        <v>142</v>
      </c>
      <c r="D381" t="s">
        <v>41</v>
      </c>
      <c r="E381" t="s">
        <v>27</v>
      </c>
      <c r="F381" t="s">
        <v>13</v>
      </c>
      <c r="G381">
        <v>1</v>
      </c>
      <c r="H381">
        <v>55000</v>
      </c>
      <c r="I381">
        <v>0</v>
      </c>
      <c r="J381">
        <v>9900</v>
      </c>
    </row>
    <row r="382" spans="1:10" x14ac:dyDescent="0.3">
      <c r="A382">
        <v>10383</v>
      </c>
      <c r="B382" s="1">
        <v>45686</v>
      </c>
      <c r="C382" t="s">
        <v>152</v>
      </c>
      <c r="D382" t="s">
        <v>41</v>
      </c>
      <c r="E382" t="s">
        <v>27</v>
      </c>
      <c r="F382" t="s">
        <v>21</v>
      </c>
      <c r="G382">
        <v>2</v>
      </c>
      <c r="H382">
        <v>99000</v>
      </c>
      <c r="I382">
        <v>0.1</v>
      </c>
      <c r="J382">
        <v>8800</v>
      </c>
    </row>
    <row r="383" spans="1:10" x14ac:dyDescent="0.3">
      <c r="A383">
        <v>10384</v>
      </c>
      <c r="B383" s="1">
        <v>45889</v>
      </c>
      <c r="C383" t="s">
        <v>156</v>
      </c>
      <c r="D383" t="s">
        <v>30</v>
      </c>
      <c r="E383" t="s">
        <v>27</v>
      </c>
      <c r="F383" t="s">
        <v>18</v>
      </c>
      <c r="G383">
        <v>2</v>
      </c>
      <c r="H383">
        <v>57000</v>
      </c>
      <c r="I383">
        <v>0.05</v>
      </c>
      <c r="J383">
        <v>7800</v>
      </c>
    </row>
    <row r="384" spans="1:10" x14ac:dyDescent="0.3">
      <c r="A384">
        <v>10385</v>
      </c>
      <c r="B384" s="1">
        <v>45871</v>
      </c>
      <c r="C384" t="s">
        <v>124</v>
      </c>
      <c r="D384" t="s">
        <v>11</v>
      </c>
      <c r="E384" t="s">
        <v>12</v>
      </c>
      <c r="F384" t="s">
        <v>13</v>
      </c>
      <c r="G384">
        <v>2</v>
      </c>
      <c r="H384">
        <v>342</v>
      </c>
      <c r="I384">
        <v>0.05</v>
      </c>
      <c r="J384">
        <v>144</v>
      </c>
    </row>
    <row r="385" spans="1:10" x14ac:dyDescent="0.3">
      <c r="A385">
        <v>10386</v>
      </c>
      <c r="B385" s="1">
        <v>45744</v>
      </c>
      <c r="C385" t="s">
        <v>83</v>
      </c>
      <c r="D385" t="s">
        <v>11</v>
      </c>
      <c r="E385" t="s">
        <v>12</v>
      </c>
      <c r="F385" t="s">
        <v>18</v>
      </c>
      <c r="G385">
        <v>5</v>
      </c>
      <c r="H385">
        <v>900</v>
      </c>
      <c r="I385">
        <v>0</v>
      </c>
      <c r="J385">
        <v>405</v>
      </c>
    </row>
    <row r="386" spans="1:10" x14ac:dyDescent="0.3">
      <c r="A386">
        <v>10387</v>
      </c>
      <c r="B386" s="1">
        <v>45766</v>
      </c>
      <c r="C386" t="s">
        <v>148</v>
      </c>
      <c r="D386" t="s">
        <v>52</v>
      </c>
      <c r="E386" t="s">
        <v>24</v>
      </c>
      <c r="F386" t="s">
        <v>13</v>
      </c>
      <c r="G386">
        <v>1</v>
      </c>
      <c r="H386">
        <v>1530</v>
      </c>
      <c r="I386">
        <v>0.15</v>
      </c>
      <c r="J386">
        <v>360</v>
      </c>
    </row>
    <row r="387" spans="1:10" x14ac:dyDescent="0.3">
      <c r="A387">
        <v>10388</v>
      </c>
      <c r="B387" s="1">
        <v>45885</v>
      </c>
      <c r="C387" t="s">
        <v>39</v>
      </c>
      <c r="D387" t="s">
        <v>17</v>
      </c>
      <c r="E387" t="s">
        <v>16</v>
      </c>
      <c r="F387" t="s">
        <v>18</v>
      </c>
      <c r="G387">
        <v>5</v>
      </c>
      <c r="H387">
        <v>57000</v>
      </c>
      <c r="I387">
        <v>0.05</v>
      </c>
      <c r="J387">
        <v>13800</v>
      </c>
    </row>
    <row r="388" spans="1:10" x14ac:dyDescent="0.3">
      <c r="A388">
        <v>10389</v>
      </c>
      <c r="B388" s="1">
        <v>45918</v>
      </c>
      <c r="C388" t="s">
        <v>128</v>
      </c>
      <c r="D388" t="s">
        <v>26</v>
      </c>
      <c r="E388" t="s">
        <v>27</v>
      </c>
      <c r="F388" t="s">
        <v>21</v>
      </c>
      <c r="G388">
        <v>3</v>
      </c>
      <c r="H388">
        <v>12825</v>
      </c>
      <c r="I388">
        <v>0.05</v>
      </c>
      <c r="J388">
        <v>1755</v>
      </c>
    </row>
    <row r="389" spans="1:10" x14ac:dyDescent="0.3">
      <c r="A389">
        <v>10390</v>
      </c>
      <c r="B389" s="1">
        <v>45877</v>
      </c>
      <c r="C389" t="s">
        <v>31</v>
      </c>
      <c r="D389" t="s">
        <v>20</v>
      </c>
      <c r="E389" t="s">
        <v>12</v>
      </c>
      <c r="F389" t="s">
        <v>36</v>
      </c>
      <c r="G389">
        <v>2</v>
      </c>
      <c r="H389">
        <v>500</v>
      </c>
      <c r="I389">
        <v>0</v>
      </c>
      <c r="J389">
        <v>225</v>
      </c>
    </row>
    <row r="390" spans="1:10" x14ac:dyDescent="0.3">
      <c r="A390">
        <v>10391</v>
      </c>
      <c r="B390" s="1">
        <v>45706</v>
      </c>
      <c r="C390" t="s">
        <v>46</v>
      </c>
      <c r="D390" t="s">
        <v>52</v>
      </c>
      <c r="E390" t="s">
        <v>24</v>
      </c>
      <c r="F390" t="s">
        <v>169</v>
      </c>
      <c r="G390">
        <v>1</v>
      </c>
      <c r="H390">
        <v>1350</v>
      </c>
      <c r="I390">
        <v>0.25</v>
      </c>
      <c r="J390">
        <v>180</v>
      </c>
    </row>
    <row r="391" spans="1:10" x14ac:dyDescent="0.3">
      <c r="A391">
        <v>10392</v>
      </c>
      <c r="B391" s="1">
        <v>45776</v>
      </c>
      <c r="C391" t="s">
        <v>136</v>
      </c>
      <c r="D391" t="s">
        <v>17</v>
      </c>
      <c r="E391" t="s">
        <v>16</v>
      </c>
      <c r="F391" t="s">
        <v>21</v>
      </c>
      <c r="G391">
        <v>1</v>
      </c>
      <c r="H391">
        <v>10800</v>
      </c>
      <c r="I391">
        <v>0.1</v>
      </c>
      <c r="J391">
        <v>2160</v>
      </c>
    </row>
    <row r="392" spans="1:10" x14ac:dyDescent="0.3">
      <c r="A392">
        <v>10393</v>
      </c>
      <c r="B392" s="1">
        <v>45915</v>
      </c>
      <c r="C392" t="s">
        <v>130</v>
      </c>
      <c r="D392" t="s">
        <v>15</v>
      </c>
      <c r="E392" t="s">
        <v>16</v>
      </c>
      <c r="F392" t="s">
        <v>13</v>
      </c>
      <c r="G392">
        <v>4</v>
      </c>
      <c r="H392">
        <v>57000</v>
      </c>
      <c r="I392">
        <v>0.05</v>
      </c>
      <c r="J392">
        <v>13800</v>
      </c>
    </row>
    <row r="393" spans="1:10" x14ac:dyDescent="0.3">
      <c r="A393">
        <v>10394</v>
      </c>
      <c r="B393" s="1">
        <v>45667</v>
      </c>
      <c r="C393" t="s">
        <v>22</v>
      </c>
      <c r="D393" t="s">
        <v>15</v>
      </c>
      <c r="E393" t="s">
        <v>16</v>
      </c>
      <c r="F393" t="s">
        <v>13</v>
      </c>
      <c r="G393">
        <v>4</v>
      </c>
      <c r="H393">
        <v>60000</v>
      </c>
      <c r="I393">
        <v>0</v>
      </c>
      <c r="J393">
        <v>16800</v>
      </c>
    </row>
    <row r="394" spans="1:10" x14ac:dyDescent="0.3">
      <c r="A394">
        <v>10395</v>
      </c>
      <c r="B394" s="1">
        <v>45810</v>
      </c>
      <c r="C394" t="s">
        <v>147</v>
      </c>
      <c r="D394" t="s">
        <v>52</v>
      </c>
      <c r="E394" t="s">
        <v>24</v>
      </c>
      <c r="F394" t="s">
        <v>21</v>
      </c>
      <c r="G394">
        <v>2</v>
      </c>
      <c r="H394">
        <v>3420</v>
      </c>
      <c r="I394">
        <v>0.05</v>
      </c>
      <c r="J394">
        <v>1080</v>
      </c>
    </row>
    <row r="395" spans="1:10" x14ac:dyDescent="0.3">
      <c r="A395">
        <v>10396</v>
      </c>
      <c r="B395" s="1">
        <v>45870</v>
      </c>
      <c r="C395" t="s">
        <v>146</v>
      </c>
      <c r="D395" t="s">
        <v>34</v>
      </c>
      <c r="E395" t="s">
        <v>24</v>
      </c>
      <c r="F395" t="s">
        <v>36</v>
      </c>
      <c r="G395">
        <v>1</v>
      </c>
      <c r="H395">
        <v>2200</v>
      </c>
      <c r="I395">
        <v>0</v>
      </c>
      <c r="J395">
        <v>770</v>
      </c>
    </row>
    <row r="396" spans="1:10" x14ac:dyDescent="0.3">
      <c r="A396">
        <v>10397</v>
      </c>
      <c r="B396" s="1">
        <v>45689</v>
      </c>
      <c r="C396" t="s">
        <v>141</v>
      </c>
      <c r="D396" t="s">
        <v>41</v>
      </c>
      <c r="E396" t="s">
        <v>27</v>
      </c>
      <c r="F396" t="s">
        <v>36</v>
      </c>
      <c r="G396">
        <v>5</v>
      </c>
      <c r="H396">
        <v>261250</v>
      </c>
      <c r="I396">
        <v>0.05</v>
      </c>
      <c r="J396">
        <v>35750</v>
      </c>
    </row>
    <row r="397" spans="1:10" x14ac:dyDescent="0.3">
      <c r="A397">
        <v>10398</v>
      </c>
      <c r="B397" s="1">
        <v>45675</v>
      </c>
      <c r="C397" t="s">
        <v>163</v>
      </c>
      <c r="D397" t="s">
        <v>41</v>
      </c>
      <c r="E397" t="s">
        <v>27</v>
      </c>
      <c r="F397" t="s">
        <v>13</v>
      </c>
      <c r="G397">
        <v>4</v>
      </c>
      <c r="H397">
        <v>176000</v>
      </c>
      <c r="I397">
        <v>0.2</v>
      </c>
      <c r="J397">
        <v>-4400</v>
      </c>
    </row>
    <row r="398" spans="1:10" x14ac:dyDescent="0.3">
      <c r="A398">
        <v>10399</v>
      </c>
      <c r="B398" s="1">
        <v>45913</v>
      </c>
      <c r="C398" t="s">
        <v>76</v>
      </c>
      <c r="D398" t="s">
        <v>15</v>
      </c>
      <c r="E398" t="s">
        <v>16</v>
      </c>
      <c r="F398" t="s">
        <v>21</v>
      </c>
      <c r="G398">
        <v>4</v>
      </c>
      <c r="H398">
        <v>60000</v>
      </c>
      <c r="I398">
        <v>0</v>
      </c>
      <c r="J398">
        <v>16800</v>
      </c>
    </row>
    <row r="399" spans="1:10" x14ac:dyDescent="0.3">
      <c r="A399">
        <v>10400</v>
      </c>
      <c r="B399" s="1">
        <v>45915</v>
      </c>
      <c r="C399" t="s">
        <v>132</v>
      </c>
      <c r="D399" t="s">
        <v>23</v>
      </c>
      <c r="E399" t="s">
        <v>24</v>
      </c>
      <c r="F399" t="s">
        <v>13</v>
      </c>
      <c r="G399">
        <v>4</v>
      </c>
      <c r="H399">
        <v>4800</v>
      </c>
      <c r="I399">
        <v>0</v>
      </c>
      <c r="J399">
        <v>1680</v>
      </c>
    </row>
    <row r="400" spans="1:10" x14ac:dyDescent="0.3">
      <c r="A400">
        <v>10401</v>
      </c>
      <c r="B400" s="1">
        <v>45745</v>
      </c>
      <c r="C400" t="s">
        <v>33</v>
      </c>
      <c r="D400" t="s">
        <v>17</v>
      </c>
      <c r="E400" t="s">
        <v>16</v>
      </c>
      <c r="F400" t="s">
        <v>13</v>
      </c>
      <c r="G400">
        <v>3</v>
      </c>
      <c r="H400">
        <v>27000</v>
      </c>
      <c r="I400">
        <v>0.25</v>
      </c>
      <c r="J400">
        <v>1080</v>
      </c>
    </row>
    <row r="401" spans="1:10" x14ac:dyDescent="0.3">
      <c r="A401">
        <v>10402</v>
      </c>
      <c r="B401" s="1">
        <v>46010</v>
      </c>
      <c r="C401" t="s">
        <v>57</v>
      </c>
      <c r="D401" t="s">
        <v>20</v>
      </c>
      <c r="E401" t="s">
        <v>12</v>
      </c>
      <c r="F401" t="s">
        <v>36</v>
      </c>
      <c r="G401">
        <v>3</v>
      </c>
      <c r="H401">
        <v>637.5</v>
      </c>
      <c r="I401">
        <v>0.15</v>
      </c>
      <c r="J401">
        <v>225</v>
      </c>
    </row>
    <row r="402" spans="1:10" x14ac:dyDescent="0.3">
      <c r="A402">
        <v>10403</v>
      </c>
      <c r="B402" s="1">
        <v>45687</v>
      </c>
      <c r="C402" t="s">
        <v>59</v>
      </c>
      <c r="D402" t="s">
        <v>20</v>
      </c>
      <c r="E402" t="s">
        <v>12</v>
      </c>
      <c r="F402" t="s">
        <v>18</v>
      </c>
      <c r="G402">
        <v>3</v>
      </c>
      <c r="H402">
        <v>750</v>
      </c>
      <c r="I402">
        <v>0</v>
      </c>
      <c r="J402">
        <v>337.5</v>
      </c>
    </row>
    <row r="403" spans="1:10" x14ac:dyDescent="0.3">
      <c r="A403">
        <v>10404</v>
      </c>
      <c r="B403" s="1">
        <v>46019</v>
      </c>
      <c r="C403" t="s">
        <v>56</v>
      </c>
      <c r="D403" t="s">
        <v>23</v>
      </c>
      <c r="E403" t="s">
        <v>24</v>
      </c>
      <c r="F403" t="s">
        <v>18</v>
      </c>
      <c r="G403">
        <v>5</v>
      </c>
      <c r="H403">
        <v>6000</v>
      </c>
      <c r="I403">
        <v>0</v>
      </c>
      <c r="J403">
        <v>2100</v>
      </c>
    </row>
    <row r="404" spans="1:10" x14ac:dyDescent="0.3">
      <c r="A404">
        <v>10405</v>
      </c>
      <c r="B404" s="1">
        <v>45761</v>
      </c>
      <c r="C404" t="s">
        <v>121</v>
      </c>
      <c r="D404" t="s">
        <v>41</v>
      </c>
      <c r="E404" t="s">
        <v>27</v>
      </c>
      <c r="F404" t="s">
        <v>21</v>
      </c>
      <c r="G404">
        <v>4</v>
      </c>
      <c r="H404">
        <v>187000</v>
      </c>
      <c r="I404">
        <v>0.15</v>
      </c>
      <c r="J404">
        <v>6600</v>
      </c>
    </row>
    <row r="405" spans="1:10" x14ac:dyDescent="0.3">
      <c r="A405">
        <v>10406</v>
      </c>
      <c r="B405" s="1">
        <v>45959</v>
      </c>
      <c r="C405" t="s">
        <v>47</v>
      </c>
      <c r="D405" t="s">
        <v>30</v>
      </c>
      <c r="E405" t="s">
        <v>27</v>
      </c>
      <c r="F405" t="s">
        <v>13</v>
      </c>
      <c r="G405">
        <v>3</v>
      </c>
      <c r="H405">
        <v>85500</v>
      </c>
      <c r="I405">
        <v>0.05</v>
      </c>
      <c r="J405">
        <v>11700</v>
      </c>
    </row>
    <row r="406" spans="1:10" x14ac:dyDescent="0.3">
      <c r="A406">
        <v>10407</v>
      </c>
      <c r="B406" s="1">
        <v>45891</v>
      </c>
      <c r="C406" t="s">
        <v>45</v>
      </c>
      <c r="D406" t="s">
        <v>23</v>
      </c>
      <c r="E406" t="s">
        <v>24</v>
      </c>
      <c r="F406" t="s">
        <v>21</v>
      </c>
      <c r="G406">
        <v>4</v>
      </c>
      <c r="H406">
        <v>4320</v>
      </c>
      <c r="I406">
        <v>0.1</v>
      </c>
      <c r="J406">
        <v>1200</v>
      </c>
    </row>
    <row r="407" spans="1:10" x14ac:dyDescent="0.3">
      <c r="A407">
        <v>10408</v>
      </c>
      <c r="B407" s="1">
        <v>45671</v>
      </c>
      <c r="C407" t="s">
        <v>122</v>
      </c>
      <c r="D407" t="s">
        <v>20</v>
      </c>
      <c r="E407" t="s">
        <v>12</v>
      </c>
      <c r="F407" t="s">
        <v>21</v>
      </c>
      <c r="G407">
        <v>4</v>
      </c>
      <c r="H407">
        <v>850</v>
      </c>
      <c r="I407">
        <v>0.15</v>
      </c>
      <c r="J407">
        <v>300</v>
      </c>
    </row>
    <row r="408" spans="1:10" x14ac:dyDescent="0.3">
      <c r="A408">
        <v>10409</v>
      </c>
      <c r="B408" s="1">
        <v>45900</v>
      </c>
      <c r="C408" t="s">
        <v>158</v>
      </c>
      <c r="D408" t="s">
        <v>15</v>
      </c>
      <c r="E408" t="s">
        <v>16</v>
      </c>
      <c r="F408" t="s">
        <v>18</v>
      </c>
      <c r="G408">
        <v>1</v>
      </c>
      <c r="H408">
        <v>12750</v>
      </c>
      <c r="I408">
        <v>0.15</v>
      </c>
      <c r="J408">
        <v>1950</v>
      </c>
    </row>
    <row r="409" spans="1:10" x14ac:dyDescent="0.3">
      <c r="A409">
        <v>10410</v>
      </c>
      <c r="B409" s="1">
        <v>45768</v>
      </c>
      <c r="C409" t="s">
        <v>164</v>
      </c>
      <c r="D409" t="s">
        <v>26</v>
      </c>
      <c r="E409" t="s">
        <v>27</v>
      </c>
      <c r="F409" t="s">
        <v>18</v>
      </c>
      <c r="G409">
        <v>5</v>
      </c>
      <c r="H409">
        <v>22500</v>
      </c>
      <c r="I409">
        <v>0</v>
      </c>
      <c r="J409">
        <v>4050</v>
      </c>
    </row>
    <row r="410" spans="1:10" x14ac:dyDescent="0.3">
      <c r="A410">
        <v>10411</v>
      </c>
      <c r="B410" s="1">
        <v>45884</v>
      </c>
      <c r="C410" t="s">
        <v>62</v>
      </c>
      <c r="D410" t="s">
        <v>17</v>
      </c>
      <c r="E410" t="s">
        <v>16</v>
      </c>
      <c r="F410" t="s">
        <v>21</v>
      </c>
      <c r="G410">
        <v>2</v>
      </c>
      <c r="H410">
        <v>19200</v>
      </c>
      <c r="I410">
        <v>0.2</v>
      </c>
      <c r="J410">
        <v>1920</v>
      </c>
    </row>
    <row r="411" spans="1:10" x14ac:dyDescent="0.3">
      <c r="A411">
        <v>10412</v>
      </c>
      <c r="B411" s="1">
        <v>45917</v>
      </c>
      <c r="C411" t="s">
        <v>133</v>
      </c>
      <c r="D411" t="s">
        <v>15</v>
      </c>
      <c r="E411" t="s">
        <v>16</v>
      </c>
      <c r="F411" t="s">
        <v>13</v>
      </c>
      <c r="G411">
        <v>5</v>
      </c>
      <c r="H411">
        <v>75000</v>
      </c>
      <c r="I411">
        <v>0</v>
      </c>
      <c r="J411">
        <v>21000</v>
      </c>
    </row>
    <row r="412" spans="1:10" x14ac:dyDescent="0.3">
      <c r="A412">
        <v>10413</v>
      </c>
      <c r="B412" s="1">
        <v>45661</v>
      </c>
      <c r="C412" t="s">
        <v>102</v>
      </c>
      <c r="D412" t="s">
        <v>17</v>
      </c>
      <c r="E412" t="s">
        <v>16</v>
      </c>
      <c r="F412" t="s">
        <v>36</v>
      </c>
      <c r="G412">
        <v>1</v>
      </c>
      <c r="H412">
        <v>10800</v>
      </c>
      <c r="I412">
        <v>0.1</v>
      </c>
      <c r="J412">
        <v>2160</v>
      </c>
    </row>
    <row r="413" spans="1:10" x14ac:dyDescent="0.3">
      <c r="A413">
        <v>10414</v>
      </c>
      <c r="B413" s="1">
        <v>45712</v>
      </c>
      <c r="C413" t="s">
        <v>28</v>
      </c>
      <c r="D413" t="s">
        <v>52</v>
      </c>
      <c r="E413" t="s">
        <v>24</v>
      </c>
      <c r="F413" t="s">
        <v>18</v>
      </c>
      <c r="G413">
        <v>5</v>
      </c>
      <c r="H413">
        <v>8100</v>
      </c>
      <c r="I413">
        <v>0.1</v>
      </c>
      <c r="J413">
        <v>2250</v>
      </c>
    </row>
    <row r="414" spans="1:10" x14ac:dyDescent="0.3">
      <c r="A414">
        <v>10415</v>
      </c>
      <c r="B414" s="1">
        <v>45816</v>
      </c>
      <c r="C414" t="s">
        <v>61</v>
      </c>
      <c r="D414" t="s">
        <v>52</v>
      </c>
      <c r="E414" t="s">
        <v>24</v>
      </c>
      <c r="F414" t="s">
        <v>36</v>
      </c>
      <c r="G414">
        <v>2</v>
      </c>
      <c r="H414">
        <v>3240</v>
      </c>
      <c r="I414">
        <v>0.1</v>
      </c>
      <c r="J414">
        <v>900</v>
      </c>
    </row>
    <row r="415" spans="1:10" x14ac:dyDescent="0.3">
      <c r="A415">
        <v>10416</v>
      </c>
      <c r="B415" s="1">
        <v>45766</v>
      </c>
      <c r="C415" t="s">
        <v>131</v>
      </c>
      <c r="D415" t="s">
        <v>41</v>
      </c>
      <c r="E415" t="s">
        <v>27</v>
      </c>
      <c r="F415" t="s">
        <v>21</v>
      </c>
      <c r="G415">
        <v>3</v>
      </c>
      <c r="H415">
        <v>165000</v>
      </c>
      <c r="I415">
        <v>0</v>
      </c>
      <c r="J415">
        <v>29700</v>
      </c>
    </row>
    <row r="416" spans="1:10" x14ac:dyDescent="0.3">
      <c r="A416">
        <v>10417</v>
      </c>
      <c r="B416" s="1">
        <v>45849</v>
      </c>
      <c r="C416" t="s">
        <v>93</v>
      </c>
      <c r="D416" t="s">
        <v>34</v>
      </c>
      <c r="E416" t="s">
        <v>24</v>
      </c>
      <c r="F416" t="s">
        <v>18</v>
      </c>
      <c r="G416">
        <v>5</v>
      </c>
      <c r="H416">
        <v>9350</v>
      </c>
      <c r="I416">
        <v>0.15</v>
      </c>
      <c r="J416">
        <v>2200</v>
      </c>
    </row>
    <row r="417" spans="1:10" x14ac:dyDescent="0.3">
      <c r="A417">
        <v>10418</v>
      </c>
      <c r="B417" s="1">
        <v>45803</v>
      </c>
      <c r="C417" t="s">
        <v>151</v>
      </c>
      <c r="D417" t="s">
        <v>17</v>
      </c>
      <c r="E417" t="s">
        <v>16</v>
      </c>
      <c r="F417" t="s">
        <v>18</v>
      </c>
      <c r="G417">
        <v>1</v>
      </c>
      <c r="H417">
        <v>10800</v>
      </c>
      <c r="I417">
        <v>0.1</v>
      </c>
      <c r="J417">
        <v>2160</v>
      </c>
    </row>
    <row r="418" spans="1:10" x14ac:dyDescent="0.3">
      <c r="A418">
        <v>10419</v>
      </c>
      <c r="B418" s="1">
        <v>45960</v>
      </c>
      <c r="C418" t="s">
        <v>133</v>
      </c>
      <c r="D418" t="s">
        <v>41</v>
      </c>
      <c r="E418" t="s">
        <v>27</v>
      </c>
      <c r="F418" t="s">
        <v>18</v>
      </c>
      <c r="G418">
        <v>3</v>
      </c>
      <c r="H418">
        <v>140250</v>
      </c>
      <c r="I418">
        <v>0.15</v>
      </c>
      <c r="J418">
        <v>4950</v>
      </c>
    </row>
    <row r="419" spans="1:10" x14ac:dyDescent="0.3">
      <c r="A419">
        <v>10420</v>
      </c>
      <c r="B419" s="1">
        <v>45855</v>
      </c>
      <c r="C419" t="s">
        <v>110</v>
      </c>
      <c r="D419" t="s">
        <v>20</v>
      </c>
      <c r="E419" t="s">
        <v>12</v>
      </c>
      <c r="F419" t="s">
        <v>18</v>
      </c>
      <c r="G419">
        <v>5</v>
      </c>
      <c r="H419">
        <v>1250</v>
      </c>
      <c r="I419">
        <v>0</v>
      </c>
      <c r="J419">
        <v>562.5</v>
      </c>
    </row>
    <row r="420" spans="1:10" x14ac:dyDescent="0.3">
      <c r="A420">
        <v>10421</v>
      </c>
      <c r="B420" s="1">
        <v>45794</v>
      </c>
      <c r="C420" t="s">
        <v>45</v>
      </c>
      <c r="D420" t="s">
        <v>20</v>
      </c>
      <c r="E420" t="s">
        <v>12</v>
      </c>
      <c r="F420" t="s">
        <v>18</v>
      </c>
      <c r="G420">
        <v>4</v>
      </c>
      <c r="H420">
        <v>950</v>
      </c>
      <c r="I420">
        <v>0.05</v>
      </c>
      <c r="J420">
        <v>400</v>
      </c>
    </row>
    <row r="421" spans="1:10" x14ac:dyDescent="0.3">
      <c r="A421">
        <v>10422</v>
      </c>
      <c r="B421" s="1">
        <v>45795</v>
      </c>
      <c r="C421" t="s">
        <v>160</v>
      </c>
      <c r="D421" t="s">
        <v>15</v>
      </c>
      <c r="E421" t="s">
        <v>16</v>
      </c>
      <c r="F421" t="s">
        <v>36</v>
      </c>
      <c r="G421">
        <v>1</v>
      </c>
      <c r="H421">
        <v>13500</v>
      </c>
      <c r="I421">
        <v>0.1</v>
      </c>
      <c r="J421">
        <v>2700</v>
      </c>
    </row>
    <row r="422" spans="1:10" x14ac:dyDescent="0.3">
      <c r="A422">
        <v>10423</v>
      </c>
      <c r="B422" s="1">
        <v>46022</v>
      </c>
      <c r="C422" t="s">
        <v>51</v>
      </c>
      <c r="D422" t="s">
        <v>41</v>
      </c>
      <c r="E422" t="s">
        <v>27</v>
      </c>
      <c r="F422" t="s">
        <v>13</v>
      </c>
      <c r="G422">
        <v>5</v>
      </c>
      <c r="H422">
        <v>233750</v>
      </c>
      <c r="I422">
        <v>0.15</v>
      </c>
      <c r="J422">
        <v>8250</v>
      </c>
    </row>
    <row r="423" spans="1:10" x14ac:dyDescent="0.3">
      <c r="A423">
        <v>10424</v>
      </c>
      <c r="B423" s="1">
        <v>45726</v>
      </c>
      <c r="C423" t="s">
        <v>159</v>
      </c>
      <c r="D423" t="s">
        <v>26</v>
      </c>
      <c r="E423" t="s">
        <v>27</v>
      </c>
      <c r="F423" t="s">
        <v>18</v>
      </c>
      <c r="G423">
        <v>2</v>
      </c>
      <c r="H423">
        <v>7200</v>
      </c>
      <c r="I423">
        <v>0.2</v>
      </c>
      <c r="J423">
        <v>-180</v>
      </c>
    </row>
    <row r="424" spans="1:10" x14ac:dyDescent="0.3">
      <c r="A424">
        <v>10425</v>
      </c>
      <c r="B424" s="1">
        <v>45731</v>
      </c>
      <c r="C424" t="s">
        <v>128</v>
      </c>
      <c r="D424" t="s">
        <v>15</v>
      </c>
      <c r="E424" t="s">
        <v>16</v>
      </c>
      <c r="F424" t="s">
        <v>18</v>
      </c>
      <c r="G424">
        <v>4</v>
      </c>
      <c r="H424">
        <v>51000</v>
      </c>
      <c r="I424">
        <v>0.15</v>
      </c>
      <c r="J424">
        <v>7800</v>
      </c>
    </row>
    <row r="425" spans="1:10" x14ac:dyDescent="0.3">
      <c r="A425">
        <v>10426</v>
      </c>
      <c r="B425" s="1">
        <v>45888</v>
      </c>
      <c r="C425" t="s">
        <v>59</v>
      </c>
      <c r="D425" t="s">
        <v>20</v>
      </c>
      <c r="E425" t="s">
        <v>12</v>
      </c>
      <c r="F425" t="s">
        <v>21</v>
      </c>
      <c r="G425">
        <v>2</v>
      </c>
      <c r="H425">
        <v>500</v>
      </c>
      <c r="I425">
        <v>0</v>
      </c>
      <c r="J425">
        <v>225</v>
      </c>
    </row>
    <row r="426" spans="1:10" x14ac:dyDescent="0.3">
      <c r="A426">
        <v>10427</v>
      </c>
      <c r="B426" s="1">
        <v>45757</v>
      </c>
      <c r="C426" t="s">
        <v>158</v>
      </c>
      <c r="D426" t="s">
        <v>26</v>
      </c>
      <c r="E426" t="s">
        <v>27</v>
      </c>
      <c r="F426" t="s">
        <v>13</v>
      </c>
      <c r="G426">
        <v>1</v>
      </c>
      <c r="H426">
        <v>3825</v>
      </c>
      <c r="I426">
        <v>0.15</v>
      </c>
      <c r="J426">
        <v>135</v>
      </c>
    </row>
    <row r="427" spans="1:10" x14ac:dyDescent="0.3">
      <c r="A427">
        <v>10428</v>
      </c>
      <c r="B427" s="1">
        <v>45714</v>
      </c>
      <c r="C427" t="s">
        <v>123</v>
      </c>
      <c r="D427" t="s">
        <v>20</v>
      </c>
      <c r="E427" t="s">
        <v>12</v>
      </c>
      <c r="F427" t="s">
        <v>18</v>
      </c>
      <c r="G427">
        <v>4</v>
      </c>
      <c r="H427">
        <v>1000</v>
      </c>
      <c r="I427">
        <v>0</v>
      </c>
      <c r="J427">
        <v>450</v>
      </c>
    </row>
    <row r="428" spans="1:10" x14ac:dyDescent="0.3">
      <c r="A428">
        <v>10429</v>
      </c>
      <c r="B428" s="1">
        <v>46021</v>
      </c>
      <c r="C428" t="s">
        <v>32</v>
      </c>
      <c r="D428" t="s">
        <v>52</v>
      </c>
      <c r="E428" t="s">
        <v>24</v>
      </c>
      <c r="F428" t="s">
        <v>21</v>
      </c>
      <c r="G428">
        <v>1</v>
      </c>
      <c r="H428">
        <v>1350</v>
      </c>
      <c r="I428">
        <v>0.25</v>
      </c>
      <c r="J428">
        <v>180</v>
      </c>
    </row>
    <row r="429" spans="1:10" x14ac:dyDescent="0.3">
      <c r="A429">
        <v>10430</v>
      </c>
      <c r="B429" s="1">
        <v>45877</v>
      </c>
      <c r="C429" t="s">
        <v>102</v>
      </c>
      <c r="D429" t="s">
        <v>20</v>
      </c>
      <c r="E429" t="s">
        <v>12</v>
      </c>
      <c r="F429" t="s">
        <v>18</v>
      </c>
      <c r="G429">
        <v>4</v>
      </c>
      <c r="H429">
        <v>950</v>
      </c>
      <c r="I429">
        <v>0.05</v>
      </c>
      <c r="J429">
        <v>400</v>
      </c>
    </row>
    <row r="430" spans="1:10" x14ac:dyDescent="0.3">
      <c r="A430">
        <v>10431</v>
      </c>
      <c r="B430" s="1">
        <v>45727</v>
      </c>
      <c r="C430" t="s">
        <v>33</v>
      </c>
      <c r="D430" t="s">
        <v>34</v>
      </c>
      <c r="E430" t="s">
        <v>24</v>
      </c>
      <c r="F430" t="s">
        <v>13</v>
      </c>
      <c r="G430">
        <v>2</v>
      </c>
      <c r="H430">
        <v>3520</v>
      </c>
      <c r="I430">
        <v>0.2</v>
      </c>
      <c r="J430">
        <v>660</v>
      </c>
    </row>
    <row r="431" spans="1:10" x14ac:dyDescent="0.3">
      <c r="A431">
        <v>10432</v>
      </c>
      <c r="B431" s="1">
        <v>45907</v>
      </c>
      <c r="C431" t="s">
        <v>154</v>
      </c>
      <c r="D431" t="s">
        <v>17</v>
      </c>
      <c r="E431" t="s">
        <v>16</v>
      </c>
      <c r="F431" t="s">
        <v>13</v>
      </c>
      <c r="G431">
        <v>3</v>
      </c>
      <c r="H431">
        <v>36000</v>
      </c>
      <c r="I431">
        <v>0</v>
      </c>
      <c r="J431">
        <v>10080</v>
      </c>
    </row>
    <row r="432" spans="1:10" x14ac:dyDescent="0.3">
      <c r="A432">
        <v>10433</v>
      </c>
      <c r="B432" s="1">
        <v>45664</v>
      </c>
      <c r="C432" t="s">
        <v>158</v>
      </c>
      <c r="D432" t="s">
        <v>15</v>
      </c>
      <c r="E432" t="s">
        <v>16</v>
      </c>
      <c r="F432" t="s">
        <v>36</v>
      </c>
      <c r="G432">
        <v>4</v>
      </c>
      <c r="H432">
        <v>57000</v>
      </c>
      <c r="I432">
        <v>0.05</v>
      </c>
      <c r="J432">
        <v>13800</v>
      </c>
    </row>
    <row r="433" spans="1:10" x14ac:dyDescent="0.3">
      <c r="A433">
        <v>10434</v>
      </c>
      <c r="B433" s="1">
        <v>45800</v>
      </c>
      <c r="C433" t="s">
        <v>163</v>
      </c>
      <c r="D433" t="s">
        <v>30</v>
      </c>
      <c r="E433" t="s">
        <v>27</v>
      </c>
      <c r="F433" t="s">
        <v>21</v>
      </c>
      <c r="G433">
        <v>3</v>
      </c>
      <c r="H433">
        <v>67500</v>
      </c>
      <c r="I433">
        <v>0.25</v>
      </c>
      <c r="J433">
        <v>-6300</v>
      </c>
    </row>
    <row r="434" spans="1:10" x14ac:dyDescent="0.3">
      <c r="A434">
        <v>10435</v>
      </c>
      <c r="B434" s="1">
        <v>45799</v>
      </c>
      <c r="C434" t="s">
        <v>133</v>
      </c>
      <c r="D434" t="s">
        <v>34</v>
      </c>
      <c r="E434" t="s">
        <v>24</v>
      </c>
      <c r="F434" t="s">
        <v>13</v>
      </c>
      <c r="G434">
        <v>4</v>
      </c>
      <c r="H434">
        <v>7480</v>
      </c>
      <c r="I434">
        <v>0.15</v>
      </c>
      <c r="J434">
        <v>1760</v>
      </c>
    </row>
    <row r="435" spans="1:10" x14ac:dyDescent="0.3">
      <c r="A435">
        <v>10436</v>
      </c>
      <c r="B435" s="1">
        <v>45788</v>
      </c>
      <c r="C435" t="s">
        <v>157</v>
      </c>
      <c r="D435" t="s">
        <v>34</v>
      </c>
      <c r="E435" t="s">
        <v>24</v>
      </c>
      <c r="F435" t="s">
        <v>21</v>
      </c>
      <c r="G435">
        <v>5</v>
      </c>
      <c r="H435">
        <v>10450</v>
      </c>
      <c r="I435">
        <v>0.05</v>
      </c>
      <c r="J435">
        <v>3300</v>
      </c>
    </row>
    <row r="436" spans="1:10" x14ac:dyDescent="0.3">
      <c r="A436">
        <v>10437</v>
      </c>
      <c r="B436" s="1">
        <v>46002</v>
      </c>
      <c r="C436" t="s">
        <v>112</v>
      </c>
      <c r="D436" t="s">
        <v>15</v>
      </c>
      <c r="E436" t="s">
        <v>16</v>
      </c>
      <c r="F436" t="s">
        <v>18</v>
      </c>
      <c r="G436">
        <v>1</v>
      </c>
      <c r="H436">
        <v>13500</v>
      </c>
      <c r="I436">
        <v>0.1</v>
      </c>
      <c r="J436">
        <v>2700</v>
      </c>
    </row>
    <row r="437" spans="1:10" x14ac:dyDescent="0.3">
      <c r="A437">
        <v>10438</v>
      </c>
      <c r="B437" s="1">
        <v>45835</v>
      </c>
      <c r="C437" t="s">
        <v>95</v>
      </c>
      <c r="D437" t="s">
        <v>23</v>
      </c>
      <c r="E437" t="s">
        <v>24</v>
      </c>
      <c r="F437" t="s">
        <v>18</v>
      </c>
      <c r="G437">
        <v>5</v>
      </c>
      <c r="H437">
        <v>6000</v>
      </c>
      <c r="I437">
        <v>0</v>
      </c>
      <c r="J437">
        <v>2100</v>
      </c>
    </row>
    <row r="438" spans="1:10" x14ac:dyDescent="0.3">
      <c r="A438">
        <v>10439</v>
      </c>
      <c r="B438" s="1">
        <v>45946</v>
      </c>
      <c r="C438" t="s">
        <v>31</v>
      </c>
      <c r="D438" t="s">
        <v>34</v>
      </c>
      <c r="E438" t="s">
        <v>24</v>
      </c>
      <c r="F438" t="s">
        <v>18</v>
      </c>
      <c r="G438">
        <v>1</v>
      </c>
      <c r="H438">
        <v>1760</v>
      </c>
      <c r="I438">
        <v>0.2</v>
      </c>
      <c r="J438">
        <v>330</v>
      </c>
    </row>
    <row r="439" spans="1:10" x14ac:dyDescent="0.3">
      <c r="A439">
        <v>10440</v>
      </c>
      <c r="B439" s="1">
        <v>45826</v>
      </c>
      <c r="C439" t="s">
        <v>76</v>
      </c>
      <c r="D439" t="s">
        <v>30</v>
      </c>
      <c r="E439" t="s">
        <v>27</v>
      </c>
      <c r="F439" t="s">
        <v>13</v>
      </c>
      <c r="G439">
        <v>4</v>
      </c>
      <c r="H439">
        <v>102000</v>
      </c>
      <c r="I439">
        <v>0.15</v>
      </c>
      <c r="J439">
        <v>3600</v>
      </c>
    </row>
    <row r="440" spans="1:10" x14ac:dyDescent="0.3">
      <c r="A440">
        <v>10441</v>
      </c>
      <c r="B440" s="1">
        <v>45855</v>
      </c>
      <c r="C440" t="s">
        <v>107</v>
      </c>
      <c r="D440" t="s">
        <v>41</v>
      </c>
      <c r="E440" t="s">
        <v>27</v>
      </c>
      <c r="F440" t="s">
        <v>13</v>
      </c>
      <c r="G440">
        <v>2</v>
      </c>
      <c r="H440">
        <v>110000</v>
      </c>
      <c r="I440">
        <v>0</v>
      </c>
      <c r="J440">
        <v>19800</v>
      </c>
    </row>
    <row r="441" spans="1:10" x14ac:dyDescent="0.3">
      <c r="A441">
        <v>10442</v>
      </c>
      <c r="B441" s="1">
        <v>45679</v>
      </c>
      <c r="C441" t="s">
        <v>64</v>
      </c>
      <c r="D441" t="s">
        <v>34</v>
      </c>
      <c r="E441" t="s">
        <v>24</v>
      </c>
      <c r="F441" t="s">
        <v>13</v>
      </c>
      <c r="G441">
        <v>5</v>
      </c>
      <c r="H441">
        <v>11000</v>
      </c>
      <c r="I441">
        <v>0</v>
      </c>
      <c r="J441">
        <v>3850</v>
      </c>
    </row>
    <row r="442" spans="1:10" x14ac:dyDescent="0.3">
      <c r="A442">
        <v>10443</v>
      </c>
      <c r="B442" s="1">
        <v>45782</v>
      </c>
      <c r="C442" t="s">
        <v>76</v>
      </c>
      <c r="D442" t="s">
        <v>30</v>
      </c>
      <c r="E442" t="s">
        <v>27</v>
      </c>
      <c r="F442" t="s">
        <v>18</v>
      </c>
      <c r="G442">
        <v>2</v>
      </c>
      <c r="H442">
        <v>54000</v>
      </c>
      <c r="I442">
        <v>0.1</v>
      </c>
      <c r="J442">
        <v>4800</v>
      </c>
    </row>
    <row r="443" spans="1:10" x14ac:dyDescent="0.3">
      <c r="A443">
        <v>10444</v>
      </c>
      <c r="B443" s="1">
        <v>45756</v>
      </c>
      <c r="C443" t="s">
        <v>151</v>
      </c>
      <c r="D443" t="s">
        <v>52</v>
      </c>
      <c r="E443" t="s">
        <v>24</v>
      </c>
      <c r="F443" t="s">
        <v>13</v>
      </c>
      <c r="G443">
        <v>4</v>
      </c>
      <c r="H443">
        <v>6840</v>
      </c>
      <c r="I443">
        <v>0.05</v>
      </c>
      <c r="J443">
        <v>2160</v>
      </c>
    </row>
    <row r="444" spans="1:10" x14ac:dyDescent="0.3">
      <c r="A444">
        <v>10445</v>
      </c>
      <c r="B444" s="1">
        <v>45725</v>
      </c>
      <c r="C444" t="s">
        <v>170</v>
      </c>
      <c r="D444" t="s">
        <v>11</v>
      </c>
      <c r="E444" t="s">
        <v>12</v>
      </c>
      <c r="F444" t="s">
        <v>18</v>
      </c>
      <c r="G444">
        <v>5</v>
      </c>
      <c r="H444">
        <v>900</v>
      </c>
      <c r="I444">
        <v>0</v>
      </c>
      <c r="J444">
        <v>405</v>
      </c>
    </row>
    <row r="445" spans="1:10" x14ac:dyDescent="0.3">
      <c r="A445">
        <v>10446</v>
      </c>
      <c r="B445" s="1">
        <v>45773</v>
      </c>
      <c r="C445" t="s">
        <v>79</v>
      </c>
      <c r="D445" t="s">
        <v>20</v>
      </c>
      <c r="E445" t="s">
        <v>12</v>
      </c>
      <c r="F445" t="s">
        <v>21</v>
      </c>
      <c r="G445">
        <v>5</v>
      </c>
      <c r="H445">
        <v>1062.5</v>
      </c>
      <c r="I445">
        <v>0.15</v>
      </c>
      <c r="J445">
        <v>375</v>
      </c>
    </row>
    <row r="446" spans="1:10" x14ac:dyDescent="0.3">
      <c r="A446">
        <v>10447</v>
      </c>
      <c r="B446" s="1">
        <v>45723</v>
      </c>
      <c r="C446" t="s">
        <v>25</v>
      </c>
      <c r="D446" t="s">
        <v>23</v>
      </c>
      <c r="E446" t="s">
        <v>24</v>
      </c>
      <c r="F446" t="s">
        <v>18</v>
      </c>
      <c r="G446">
        <v>2</v>
      </c>
      <c r="H446">
        <v>2040</v>
      </c>
      <c r="I446">
        <v>0.15</v>
      </c>
      <c r="J446">
        <v>480</v>
      </c>
    </row>
    <row r="447" spans="1:10" x14ac:dyDescent="0.3">
      <c r="A447">
        <v>10448</v>
      </c>
      <c r="B447" s="1">
        <v>45919</v>
      </c>
      <c r="C447" t="s">
        <v>129</v>
      </c>
      <c r="D447" t="s">
        <v>41</v>
      </c>
      <c r="E447" t="s">
        <v>27</v>
      </c>
      <c r="F447" t="s">
        <v>13</v>
      </c>
      <c r="G447">
        <v>2</v>
      </c>
      <c r="H447">
        <v>99000</v>
      </c>
      <c r="I447">
        <v>0.1</v>
      </c>
      <c r="J447">
        <v>8800</v>
      </c>
    </row>
    <row r="448" spans="1:10" x14ac:dyDescent="0.3">
      <c r="A448">
        <v>10449</v>
      </c>
      <c r="B448" s="1">
        <v>45964</v>
      </c>
      <c r="C448" t="s">
        <v>106</v>
      </c>
      <c r="D448" t="s">
        <v>30</v>
      </c>
      <c r="E448" t="s">
        <v>27</v>
      </c>
      <c r="F448" t="s">
        <v>18</v>
      </c>
      <c r="G448">
        <v>3</v>
      </c>
      <c r="H448">
        <v>76500</v>
      </c>
      <c r="I448">
        <v>0.15</v>
      </c>
      <c r="J448">
        <v>2700</v>
      </c>
    </row>
    <row r="449" spans="1:10" x14ac:dyDescent="0.3">
      <c r="A449">
        <v>10450</v>
      </c>
      <c r="B449" s="1">
        <v>45821</v>
      </c>
      <c r="C449" t="s">
        <v>112</v>
      </c>
      <c r="D449" t="s">
        <v>34</v>
      </c>
      <c r="E449" t="s">
        <v>24</v>
      </c>
      <c r="F449" t="s">
        <v>18</v>
      </c>
      <c r="G449">
        <v>4</v>
      </c>
      <c r="H449">
        <v>7480</v>
      </c>
      <c r="I449">
        <v>0.15</v>
      </c>
      <c r="J449">
        <v>1760</v>
      </c>
    </row>
    <row r="450" spans="1:10" x14ac:dyDescent="0.3">
      <c r="A450">
        <v>10451</v>
      </c>
      <c r="B450" s="1">
        <v>45895</v>
      </c>
      <c r="C450" t="s">
        <v>73</v>
      </c>
      <c r="D450" t="s">
        <v>11</v>
      </c>
      <c r="E450" t="s">
        <v>12</v>
      </c>
      <c r="F450" t="s">
        <v>21</v>
      </c>
      <c r="G450">
        <v>1</v>
      </c>
      <c r="H450">
        <v>171</v>
      </c>
      <c r="I450">
        <v>0.05</v>
      </c>
      <c r="J450">
        <v>72</v>
      </c>
    </row>
    <row r="451" spans="1:10" x14ac:dyDescent="0.3">
      <c r="A451">
        <v>10452</v>
      </c>
      <c r="B451" s="1">
        <v>45925</v>
      </c>
      <c r="C451" t="s">
        <v>29</v>
      </c>
      <c r="D451" t="s">
        <v>34</v>
      </c>
      <c r="E451" t="s">
        <v>24</v>
      </c>
      <c r="F451" t="s">
        <v>36</v>
      </c>
      <c r="G451">
        <v>4</v>
      </c>
      <c r="H451">
        <v>7480</v>
      </c>
      <c r="I451">
        <v>0.15</v>
      </c>
      <c r="J451">
        <v>1760</v>
      </c>
    </row>
    <row r="452" spans="1:10" x14ac:dyDescent="0.3">
      <c r="A452">
        <v>10453</v>
      </c>
      <c r="B452" s="1">
        <v>45771</v>
      </c>
      <c r="C452" t="s">
        <v>154</v>
      </c>
      <c r="D452" t="s">
        <v>26</v>
      </c>
      <c r="E452" t="s">
        <v>27</v>
      </c>
      <c r="F452" t="s">
        <v>18</v>
      </c>
      <c r="G452">
        <v>5</v>
      </c>
      <c r="H452">
        <v>18000</v>
      </c>
      <c r="I452">
        <v>0.2</v>
      </c>
      <c r="J452">
        <v>-450</v>
      </c>
    </row>
    <row r="453" spans="1:10" x14ac:dyDescent="0.3">
      <c r="A453">
        <v>10454</v>
      </c>
      <c r="B453" s="1">
        <v>45665</v>
      </c>
      <c r="C453" t="s">
        <v>83</v>
      </c>
      <c r="D453" t="s">
        <v>20</v>
      </c>
      <c r="E453" t="s">
        <v>12</v>
      </c>
      <c r="F453" t="s">
        <v>18</v>
      </c>
      <c r="G453">
        <v>1</v>
      </c>
      <c r="H453">
        <v>225</v>
      </c>
      <c r="I453">
        <v>0.1</v>
      </c>
      <c r="J453">
        <v>87.5</v>
      </c>
    </row>
    <row r="454" spans="1:10" x14ac:dyDescent="0.3">
      <c r="A454">
        <v>10455</v>
      </c>
      <c r="B454" s="1">
        <v>45903</v>
      </c>
      <c r="C454" t="s">
        <v>93</v>
      </c>
      <c r="D454" t="s">
        <v>15</v>
      </c>
      <c r="E454" t="s">
        <v>16</v>
      </c>
      <c r="F454" t="s">
        <v>18</v>
      </c>
      <c r="G454">
        <v>4</v>
      </c>
      <c r="H454">
        <v>51000</v>
      </c>
      <c r="I454">
        <v>0.15</v>
      </c>
      <c r="J454">
        <v>7800</v>
      </c>
    </row>
    <row r="455" spans="1:10" x14ac:dyDescent="0.3">
      <c r="A455">
        <v>10457</v>
      </c>
      <c r="B455" s="1">
        <v>45926</v>
      </c>
      <c r="C455" t="s">
        <v>110</v>
      </c>
      <c r="D455" t="s">
        <v>11</v>
      </c>
      <c r="E455" t="s">
        <v>12</v>
      </c>
      <c r="F455" t="s">
        <v>18</v>
      </c>
      <c r="G455">
        <v>5</v>
      </c>
      <c r="H455">
        <v>765</v>
      </c>
      <c r="I455">
        <v>0.15</v>
      </c>
      <c r="J455">
        <v>270</v>
      </c>
    </row>
    <row r="456" spans="1:10" x14ac:dyDescent="0.3">
      <c r="A456">
        <v>10458</v>
      </c>
      <c r="B456" s="1">
        <v>45904</v>
      </c>
      <c r="C456" t="s">
        <v>135</v>
      </c>
      <c r="D456" t="s">
        <v>20</v>
      </c>
      <c r="E456" t="s">
        <v>12</v>
      </c>
      <c r="F456" t="s">
        <v>36</v>
      </c>
      <c r="G456">
        <v>2</v>
      </c>
      <c r="H456">
        <v>450</v>
      </c>
      <c r="I456">
        <v>0.1</v>
      </c>
      <c r="J456">
        <v>175</v>
      </c>
    </row>
    <row r="457" spans="1:10" x14ac:dyDescent="0.3">
      <c r="A457">
        <v>10459</v>
      </c>
      <c r="B457" s="1">
        <v>45853</v>
      </c>
      <c r="C457" t="s">
        <v>117</v>
      </c>
      <c r="D457" t="s">
        <v>15</v>
      </c>
      <c r="E457" t="s">
        <v>16</v>
      </c>
      <c r="F457" t="s">
        <v>18</v>
      </c>
      <c r="G457">
        <v>1</v>
      </c>
      <c r="H457">
        <v>15000</v>
      </c>
      <c r="I457">
        <v>0</v>
      </c>
      <c r="J457">
        <v>4200</v>
      </c>
    </row>
    <row r="458" spans="1:10" x14ac:dyDescent="0.3">
      <c r="A458">
        <v>10460</v>
      </c>
      <c r="B458" s="1">
        <v>45790</v>
      </c>
      <c r="C458" t="s">
        <v>94</v>
      </c>
      <c r="D458" t="s">
        <v>30</v>
      </c>
      <c r="E458" t="s">
        <v>27</v>
      </c>
      <c r="F458" t="s">
        <v>18</v>
      </c>
      <c r="G458">
        <v>2</v>
      </c>
      <c r="H458">
        <v>60000</v>
      </c>
      <c r="I458">
        <v>0</v>
      </c>
      <c r="J458">
        <v>10800</v>
      </c>
    </row>
    <row r="459" spans="1:10" x14ac:dyDescent="0.3">
      <c r="A459">
        <v>10461</v>
      </c>
      <c r="B459" s="1">
        <v>45717</v>
      </c>
      <c r="C459" t="s">
        <v>122</v>
      </c>
      <c r="D459" t="s">
        <v>20</v>
      </c>
      <c r="E459" t="s">
        <v>12</v>
      </c>
      <c r="F459" t="s">
        <v>36</v>
      </c>
      <c r="G459">
        <v>2</v>
      </c>
      <c r="H459">
        <v>500</v>
      </c>
      <c r="I459">
        <v>0</v>
      </c>
      <c r="J459">
        <v>225</v>
      </c>
    </row>
    <row r="460" spans="1:10" x14ac:dyDescent="0.3">
      <c r="A460">
        <v>10462</v>
      </c>
      <c r="B460" s="1">
        <v>45870</v>
      </c>
      <c r="C460" t="s">
        <v>25</v>
      </c>
      <c r="D460" t="s">
        <v>30</v>
      </c>
      <c r="E460" t="s">
        <v>27</v>
      </c>
      <c r="F460" t="s">
        <v>18</v>
      </c>
      <c r="G460">
        <v>4</v>
      </c>
      <c r="H460">
        <v>108000</v>
      </c>
      <c r="I460">
        <v>0.1</v>
      </c>
      <c r="J460">
        <v>9600</v>
      </c>
    </row>
    <row r="461" spans="1:10" x14ac:dyDescent="0.3">
      <c r="A461">
        <v>10463</v>
      </c>
      <c r="B461" s="1">
        <v>45875</v>
      </c>
      <c r="C461" t="s">
        <v>84</v>
      </c>
      <c r="D461" t="s">
        <v>34</v>
      </c>
      <c r="E461" t="s">
        <v>24</v>
      </c>
      <c r="F461" t="s">
        <v>13</v>
      </c>
      <c r="G461">
        <v>5</v>
      </c>
      <c r="H461">
        <v>11000</v>
      </c>
      <c r="I461">
        <v>0</v>
      </c>
      <c r="J461">
        <v>3850</v>
      </c>
    </row>
    <row r="462" spans="1:10" x14ac:dyDescent="0.3">
      <c r="A462">
        <v>10464</v>
      </c>
      <c r="B462" s="1">
        <v>45936</v>
      </c>
      <c r="C462" t="s">
        <v>135</v>
      </c>
      <c r="D462" t="s">
        <v>26</v>
      </c>
      <c r="E462" t="s">
        <v>27</v>
      </c>
      <c r="F462" t="s">
        <v>21</v>
      </c>
      <c r="G462">
        <v>2</v>
      </c>
      <c r="H462">
        <v>7650</v>
      </c>
      <c r="I462">
        <v>0.15</v>
      </c>
      <c r="J462">
        <v>270</v>
      </c>
    </row>
    <row r="463" spans="1:10" x14ac:dyDescent="0.3">
      <c r="A463">
        <v>10465</v>
      </c>
      <c r="B463" s="1">
        <v>46007</v>
      </c>
      <c r="C463" t="s">
        <v>22</v>
      </c>
      <c r="D463" t="s">
        <v>41</v>
      </c>
      <c r="E463" t="s">
        <v>27</v>
      </c>
      <c r="F463" t="s">
        <v>36</v>
      </c>
      <c r="G463">
        <v>5</v>
      </c>
      <c r="H463">
        <v>233750</v>
      </c>
      <c r="I463">
        <v>0.15</v>
      </c>
      <c r="J463">
        <v>8250</v>
      </c>
    </row>
    <row r="464" spans="1:10" x14ac:dyDescent="0.3">
      <c r="A464">
        <v>10466</v>
      </c>
      <c r="B464" s="1">
        <v>45929</v>
      </c>
      <c r="C464" t="s">
        <v>47</v>
      </c>
      <c r="D464" t="s">
        <v>26</v>
      </c>
      <c r="E464" t="s">
        <v>27</v>
      </c>
      <c r="F464" t="s">
        <v>36</v>
      </c>
      <c r="G464">
        <v>1</v>
      </c>
      <c r="H464">
        <v>4500</v>
      </c>
      <c r="I464">
        <v>0</v>
      </c>
      <c r="J464">
        <v>810</v>
      </c>
    </row>
    <row r="465" spans="1:10" x14ac:dyDescent="0.3">
      <c r="A465">
        <v>10467</v>
      </c>
      <c r="B465" s="1">
        <v>45858</v>
      </c>
      <c r="C465" t="s">
        <v>58</v>
      </c>
      <c r="D465" t="s">
        <v>52</v>
      </c>
      <c r="E465" t="s">
        <v>24</v>
      </c>
      <c r="F465" t="s">
        <v>18</v>
      </c>
      <c r="G465">
        <v>4</v>
      </c>
      <c r="H465">
        <v>6120</v>
      </c>
      <c r="I465">
        <v>0.15</v>
      </c>
      <c r="J465">
        <v>1440</v>
      </c>
    </row>
    <row r="466" spans="1:10" x14ac:dyDescent="0.3">
      <c r="A466">
        <v>10468</v>
      </c>
      <c r="B466" s="1">
        <v>45960</v>
      </c>
      <c r="C466" t="s">
        <v>113</v>
      </c>
      <c r="D466" t="s">
        <v>41</v>
      </c>
      <c r="E466" t="s">
        <v>27</v>
      </c>
      <c r="F466" t="s">
        <v>36</v>
      </c>
      <c r="G466">
        <v>3</v>
      </c>
      <c r="H466">
        <v>140250</v>
      </c>
      <c r="I466">
        <v>0.15</v>
      </c>
      <c r="J466">
        <v>4950</v>
      </c>
    </row>
    <row r="467" spans="1:10" x14ac:dyDescent="0.3">
      <c r="A467">
        <v>10469</v>
      </c>
      <c r="B467" s="1">
        <v>45959</v>
      </c>
      <c r="C467" t="s">
        <v>66</v>
      </c>
      <c r="D467" t="s">
        <v>15</v>
      </c>
      <c r="E467" t="s">
        <v>16</v>
      </c>
      <c r="F467" t="s">
        <v>18</v>
      </c>
      <c r="G467">
        <v>3</v>
      </c>
      <c r="H467">
        <v>38250</v>
      </c>
      <c r="I467">
        <v>0.15</v>
      </c>
      <c r="J467">
        <v>5850</v>
      </c>
    </row>
    <row r="468" spans="1:10" x14ac:dyDescent="0.3">
      <c r="A468">
        <v>10470</v>
      </c>
      <c r="B468" s="1">
        <v>45990</v>
      </c>
      <c r="C468" t="s">
        <v>67</v>
      </c>
      <c r="D468" t="s">
        <v>41</v>
      </c>
      <c r="E468" t="s">
        <v>27</v>
      </c>
      <c r="F468" t="s">
        <v>13</v>
      </c>
      <c r="G468">
        <v>1</v>
      </c>
      <c r="H468">
        <v>46750</v>
      </c>
      <c r="I468">
        <v>0.15</v>
      </c>
      <c r="J468">
        <v>1650</v>
      </c>
    </row>
    <row r="469" spans="1:10" x14ac:dyDescent="0.3">
      <c r="A469">
        <v>10471</v>
      </c>
      <c r="B469" s="1">
        <v>45748</v>
      </c>
      <c r="C469" t="s">
        <v>107</v>
      </c>
      <c r="D469" t="s">
        <v>20</v>
      </c>
      <c r="E469" t="s">
        <v>12</v>
      </c>
      <c r="F469" t="s">
        <v>18</v>
      </c>
      <c r="G469">
        <v>3</v>
      </c>
      <c r="H469">
        <v>750</v>
      </c>
      <c r="I469">
        <v>0</v>
      </c>
      <c r="J469">
        <v>337.5</v>
      </c>
    </row>
    <row r="470" spans="1:10" x14ac:dyDescent="0.3">
      <c r="A470">
        <v>10472</v>
      </c>
      <c r="B470" s="1">
        <v>45847</v>
      </c>
      <c r="C470" t="s">
        <v>43</v>
      </c>
      <c r="D470" t="s">
        <v>20</v>
      </c>
      <c r="E470" t="s">
        <v>12</v>
      </c>
      <c r="F470" t="s">
        <v>36</v>
      </c>
      <c r="G470">
        <v>4</v>
      </c>
      <c r="H470">
        <v>950</v>
      </c>
      <c r="I470">
        <v>0.05</v>
      </c>
      <c r="J470">
        <v>400</v>
      </c>
    </row>
    <row r="471" spans="1:10" x14ac:dyDescent="0.3">
      <c r="A471">
        <v>10473</v>
      </c>
      <c r="B471" s="1">
        <v>46001</v>
      </c>
      <c r="C471" t="s">
        <v>102</v>
      </c>
      <c r="D471" t="s">
        <v>17</v>
      </c>
      <c r="E471" t="s">
        <v>16</v>
      </c>
      <c r="F471" t="s">
        <v>21</v>
      </c>
      <c r="G471">
        <v>1</v>
      </c>
      <c r="H471">
        <v>12000</v>
      </c>
      <c r="I471">
        <v>0</v>
      </c>
      <c r="J471">
        <v>3360</v>
      </c>
    </row>
    <row r="472" spans="1:10" x14ac:dyDescent="0.3">
      <c r="A472">
        <v>10474</v>
      </c>
      <c r="B472" s="1">
        <v>45932</v>
      </c>
      <c r="C472" t="s">
        <v>104</v>
      </c>
      <c r="D472" t="s">
        <v>20</v>
      </c>
      <c r="E472" t="s">
        <v>12</v>
      </c>
      <c r="F472" t="s">
        <v>18</v>
      </c>
      <c r="G472">
        <v>1</v>
      </c>
      <c r="H472">
        <v>237.5</v>
      </c>
      <c r="I472">
        <v>0.05</v>
      </c>
      <c r="J472">
        <v>100</v>
      </c>
    </row>
    <row r="473" spans="1:10" x14ac:dyDescent="0.3">
      <c r="A473">
        <v>10475</v>
      </c>
      <c r="B473" s="1">
        <v>45778</v>
      </c>
      <c r="C473" t="s">
        <v>93</v>
      </c>
      <c r="D473" t="s">
        <v>11</v>
      </c>
      <c r="E473" t="s">
        <v>12</v>
      </c>
      <c r="F473" t="s">
        <v>36</v>
      </c>
      <c r="G473">
        <v>1</v>
      </c>
      <c r="H473">
        <v>171</v>
      </c>
      <c r="I473">
        <v>0.05</v>
      </c>
      <c r="J473">
        <v>72</v>
      </c>
    </row>
    <row r="474" spans="1:10" x14ac:dyDescent="0.3">
      <c r="A474">
        <v>10476</v>
      </c>
      <c r="B474" s="1">
        <v>45943</v>
      </c>
      <c r="C474" t="s">
        <v>94</v>
      </c>
      <c r="D474" t="s">
        <v>17</v>
      </c>
      <c r="E474" t="s">
        <v>16</v>
      </c>
      <c r="F474" t="s">
        <v>18</v>
      </c>
      <c r="G474">
        <v>5</v>
      </c>
      <c r="H474">
        <v>54000</v>
      </c>
      <c r="I474">
        <v>0.1</v>
      </c>
      <c r="J474">
        <v>10800</v>
      </c>
    </row>
    <row r="475" spans="1:10" x14ac:dyDescent="0.3">
      <c r="A475">
        <v>10477</v>
      </c>
      <c r="B475" s="1">
        <v>45860</v>
      </c>
      <c r="C475" t="s">
        <v>134</v>
      </c>
      <c r="D475" t="s">
        <v>41</v>
      </c>
      <c r="E475" t="s">
        <v>27</v>
      </c>
      <c r="F475" t="s">
        <v>36</v>
      </c>
      <c r="G475">
        <v>4</v>
      </c>
      <c r="H475">
        <v>209000</v>
      </c>
      <c r="I475">
        <v>0.05</v>
      </c>
      <c r="J475">
        <v>28600</v>
      </c>
    </row>
    <row r="476" spans="1:10" x14ac:dyDescent="0.3">
      <c r="A476">
        <v>10478</v>
      </c>
      <c r="B476" s="1">
        <v>45698</v>
      </c>
      <c r="C476" t="s">
        <v>54</v>
      </c>
      <c r="D476" t="s">
        <v>23</v>
      </c>
      <c r="E476" t="s">
        <v>24</v>
      </c>
      <c r="F476" t="s">
        <v>18</v>
      </c>
      <c r="G476">
        <v>3</v>
      </c>
      <c r="H476">
        <v>3060</v>
      </c>
      <c r="I476">
        <v>0.15</v>
      </c>
      <c r="J476">
        <v>720</v>
      </c>
    </row>
    <row r="477" spans="1:10" x14ac:dyDescent="0.3">
      <c r="A477">
        <v>10479</v>
      </c>
      <c r="B477" s="1">
        <v>45767</v>
      </c>
      <c r="C477" t="s">
        <v>76</v>
      </c>
      <c r="D477" t="s">
        <v>52</v>
      </c>
      <c r="E477" t="s">
        <v>24</v>
      </c>
      <c r="F477" t="s">
        <v>13</v>
      </c>
      <c r="G477">
        <v>2</v>
      </c>
      <c r="H477">
        <v>3060</v>
      </c>
      <c r="I477">
        <v>0.15</v>
      </c>
      <c r="J477">
        <v>720</v>
      </c>
    </row>
    <row r="478" spans="1:10" x14ac:dyDescent="0.3">
      <c r="A478">
        <v>10480</v>
      </c>
      <c r="B478" s="1">
        <v>45815</v>
      </c>
      <c r="C478" t="s">
        <v>162</v>
      </c>
      <c r="D478" t="s">
        <v>52</v>
      </c>
      <c r="E478" t="s">
        <v>24</v>
      </c>
      <c r="F478" t="s">
        <v>36</v>
      </c>
      <c r="G478">
        <v>5</v>
      </c>
      <c r="H478">
        <v>7200</v>
      </c>
      <c r="I478">
        <v>0.2</v>
      </c>
      <c r="J478">
        <v>1350</v>
      </c>
    </row>
    <row r="479" spans="1:10" x14ac:dyDescent="0.3">
      <c r="A479">
        <v>10481</v>
      </c>
      <c r="B479" s="1">
        <v>45982</v>
      </c>
      <c r="C479" t="s">
        <v>42</v>
      </c>
      <c r="D479" t="s">
        <v>30</v>
      </c>
      <c r="E479" t="s">
        <v>27</v>
      </c>
      <c r="F479" t="s">
        <v>18</v>
      </c>
      <c r="G479">
        <v>5</v>
      </c>
      <c r="H479">
        <v>135000</v>
      </c>
      <c r="I479">
        <v>0.1</v>
      </c>
      <c r="J479">
        <v>12000</v>
      </c>
    </row>
    <row r="480" spans="1:10" x14ac:dyDescent="0.3">
      <c r="A480">
        <v>10482</v>
      </c>
      <c r="B480" s="1">
        <v>45858</v>
      </c>
      <c r="C480" t="s">
        <v>142</v>
      </c>
      <c r="D480" t="s">
        <v>15</v>
      </c>
      <c r="E480" t="s">
        <v>16</v>
      </c>
      <c r="F480" t="s">
        <v>18</v>
      </c>
      <c r="G480">
        <v>3</v>
      </c>
      <c r="H480">
        <v>40500</v>
      </c>
      <c r="I480">
        <v>0.1</v>
      </c>
      <c r="J480">
        <v>8100</v>
      </c>
    </row>
    <row r="481" spans="1:10" x14ac:dyDescent="0.3">
      <c r="A481">
        <v>10483</v>
      </c>
      <c r="B481" s="1">
        <v>45722</v>
      </c>
      <c r="C481" t="s">
        <v>139</v>
      </c>
      <c r="D481" t="s">
        <v>26</v>
      </c>
      <c r="E481" t="s">
        <v>27</v>
      </c>
      <c r="F481" t="s">
        <v>13</v>
      </c>
      <c r="G481">
        <v>1</v>
      </c>
      <c r="H481">
        <v>4500</v>
      </c>
      <c r="I481">
        <v>0</v>
      </c>
      <c r="J481">
        <v>810</v>
      </c>
    </row>
    <row r="482" spans="1:10" x14ac:dyDescent="0.3">
      <c r="A482">
        <v>10484</v>
      </c>
      <c r="B482" s="1">
        <v>45831</v>
      </c>
      <c r="C482" t="s">
        <v>78</v>
      </c>
      <c r="D482" t="s">
        <v>11</v>
      </c>
      <c r="E482" t="s">
        <v>12</v>
      </c>
      <c r="F482" t="s">
        <v>36</v>
      </c>
      <c r="G482">
        <v>4</v>
      </c>
      <c r="H482">
        <v>576</v>
      </c>
      <c r="I482">
        <v>0.2</v>
      </c>
      <c r="J482">
        <v>180</v>
      </c>
    </row>
    <row r="483" spans="1:10" x14ac:dyDescent="0.3">
      <c r="A483">
        <v>10485</v>
      </c>
      <c r="B483" s="1">
        <v>45750</v>
      </c>
      <c r="C483" t="s">
        <v>77</v>
      </c>
      <c r="D483" t="s">
        <v>23</v>
      </c>
      <c r="E483" t="s">
        <v>24</v>
      </c>
      <c r="F483" t="s">
        <v>18</v>
      </c>
      <c r="G483">
        <v>3</v>
      </c>
      <c r="H483">
        <v>2880</v>
      </c>
      <c r="I483">
        <v>0.2</v>
      </c>
      <c r="J483">
        <v>540</v>
      </c>
    </row>
    <row r="484" spans="1:10" x14ac:dyDescent="0.3">
      <c r="A484">
        <v>10486</v>
      </c>
      <c r="B484" s="1">
        <v>45814</v>
      </c>
      <c r="C484" t="s">
        <v>28</v>
      </c>
      <c r="D484" t="s">
        <v>15</v>
      </c>
      <c r="E484" t="s">
        <v>16</v>
      </c>
      <c r="F484" t="s">
        <v>36</v>
      </c>
      <c r="G484">
        <v>3</v>
      </c>
      <c r="H484">
        <v>40500</v>
      </c>
      <c r="I484">
        <v>0.1</v>
      </c>
      <c r="J484">
        <v>8100</v>
      </c>
    </row>
    <row r="485" spans="1:10" x14ac:dyDescent="0.3">
      <c r="A485">
        <v>10487</v>
      </c>
      <c r="B485" s="1">
        <v>45733</v>
      </c>
      <c r="C485" t="s">
        <v>166</v>
      </c>
      <c r="D485" t="s">
        <v>11</v>
      </c>
      <c r="E485" t="s">
        <v>12</v>
      </c>
      <c r="F485" t="s">
        <v>21</v>
      </c>
      <c r="G485">
        <v>4</v>
      </c>
      <c r="H485">
        <v>720</v>
      </c>
      <c r="I485">
        <v>0</v>
      </c>
      <c r="J485">
        <v>324</v>
      </c>
    </row>
    <row r="486" spans="1:10" x14ac:dyDescent="0.3">
      <c r="A486">
        <v>10488</v>
      </c>
      <c r="B486" s="1">
        <v>46018</v>
      </c>
      <c r="C486" t="s">
        <v>44</v>
      </c>
      <c r="D486" t="s">
        <v>30</v>
      </c>
      <c r="E486" t="s">
        <v>27</v>
      </c>
      <c r="F486" t="s">
        <v>18</v>
      </c>
      <c r="G486">
        <v>2</v>
      </c>
      <c r="H486">
        <v>54000</v>
      </c>
      <c r="I486">
        <v>0.1</v>
      </c>
      <c r="J486">
        <v>4800</v>
      </c>
    </row>
    <row r="487" spans="1:10" x14ac:dyDescent="0.3">
      <c r="A487">
        <v>10489</v>
      </c>
      <c r="B487" s="1">
        <v>45718</v>
      </c>
      <c r="C487" t="s">
        <v>162</v>
      </c>
      <c r="D487" t="s">
        <v>11</v>
      </c>
      <c r="E487" t="s">
        <v>12</v>
      </c>
      <c r="F487" t="s">
        <v>21</v>
      </c>
      <c r="G487">
        <v>1</v>
      </c>
      <c r="H487">
        <v>180</v>
      </c>
      <c r="I487">
        <v>0</v>
      </c>
      <c r="J487">
        <v>81</v>
      </c>
    </row>
    <row r="488" spans="1:10" x14ac:dyDescent="0.3">
      <c r="A488">
        <v>10490</v>
      </c>
      <c r="B488" s="1">
        <v>46019</v>
      </c>
      <c r="C488" t="s">
        <v>159</v>
      </c>
      <c r="D488" t="s">
        <v>34</v>
      </c>
      <c r="E488" t="s">
        <v>24</v>
      </c>
      <c r="F488" t="s">
        <v>13</v>
      </c>
      <c r="G488">
        <v>3</v>
      </c>
      <c r="H488">
        <v>6600</v>
      </c>
      <c r="I488">
        <v>0</v>
      </c>
      <c r="J488">
        <v>2310</v>
      </c>
    </row>
    <row r="489" spans="1:10" x14ac:dyDescent="0.3">
      <c r="A489">
        <v>10491</v>
      </c>
      <c r="B489" s="1">
        <v>45948</v>
      </c>
      <c r="C489" t="s">
        <v>87</v>
      </c>
      <c r="D489" t="s">
        <v>41</v>
      </c>
      <c r="E489" t="s">
        <v>27</v>
      </c>
      <c r="F489" t="s">
        <v>18</v>
      </c>
      <c r="G489">
        <v>3</v>
      </c>
      <c r="H489">
        <v>156750</v>
      </c>
      <c r="I489">
        <v>0.05</v>
      </c>
      <c r="J489">
        <v>21450</v>
      </c>
    </row>
    <row r="490" spans="1:10" x14ac:dyDescent="0.3">
      <c r="A490">
        <v>10492</v>
      </c>
      <c r="B490" s="1">
        <v>45706</v>
      </c>
      <c r="C490" t="s">
        <v>71</v>
      </c>
      <c r="D490" t="s">
        <v>41</v>
      </c>
      <c r="E490" t="s">
        <v>27</v>
      </c>
      <c r="F490" t="s">
        <v>13</v>
      </c>
      <c r="G490">
        <v>5</v>
      </c>
      <c r="H490">
        <v>247500</v>
      </c>
      <c r="I490">
        <v>0.1</v>
      </c>
      <c r="J490">
        <v>22000</v>
      </c>
    </row>
    <row r="491" spans="1:10" x14ac:dyDescent="0.3">
      <c r="A491">
        <v>10493</v>
      </c>
      <c r="B491" s="1">
        <v>46010</v>
      </c>
      <c r="C491" t="s">
        <v>45</v>
      </c>
      <c r="D491" t="s">
        <v>52</v>
      </c>
      <c r="E491" t="s">
        <v>24</v>
      </c>
      <c r="F491" t="s">
        <v>36</v>
      </c>
      <c r="G491">
        <v>3</v>
      </c>
      <c r="H491">
        <v>4320</v>
      </c>
      <c r="I491">
        <v>0.2</v>
      </c>
      <c r="J491">
        <v>810</v>
      </c>
    </row>
    <row r="492" spans="1:10" x14ac:dyDescent="0.3">
      <c r="A492">
        <v>10494</v>
      </c>
      <c r="B492" s="1">
        <v>45975</v>
      </c>
      <c r="C492" t="s">
        <v>32</v>
      </c>
      <c r="D492" t="s">
        <v>15</v>
      </c>
      <c r="E492" t="s">
        <v>16</v>
      </c>
      <c r="F492" t="s">
        <v>36</v>
      </c>
      <c r="G492">
        <v>5</v>
      </c>
      <c r="H492">
        <v>67500</v>
      </c>
      <c r="I492">
        <v>0.1</v>
      </c>
      <c r="J492">
        <v>13500</v>
      </c>
    </row>
    <row r="493" spans="1:10" x14ac:dyDescent="0.3">
      <c r="A493">
        <v>10495</v>
      </c>
      <c r="B493" s="1">
        <v>45694</v>
      </c>
      <c r="C493" t="s">
        <v>137</v>
      </c>
      <c r="D493" t="s">
        <v>20</v>
      </c>
      <c r="E493" t="s">
        <v>12</v>
      </c>
      <c r="F493" t="s">
        <v>13</v>
      </c>
      <c r="G493">
        <v>1</v>
      </c>
      <c r="H493">
        <v>237.5</v>
      </c>
      <c r="I493">
        <v>0.05</v>
      </c>
      <c r="J493">
        <v>100</v>
      </c>
    </row>
    <row r="494" spans="1:10" x14ac:dyDescent="0.3">
      <c r="A494">
        <v>10496</v>
      </c>
      <c r="B494" s="1">
        <v>45840</v>
      </c>
      <c r="C494" t="s">
        <v>40</v>
      </c>
      <c r="D494" t="s">
        <v>41</v>
      </c>
      <c r="E494" t="s">
        <v>27</v>
      </c>
      <c r="F494" t="s">
        <v>36</v>
      </c>
      <c r="G494">
        <v>5</v>
      </c>
      <c r="H494">
        <v>261250</v>
      </c>
      <c r="I494">
        <v>0.05</v>
      </c>
      <c r="J494">
        <v>35750</v>
      </c>
    </row>
    <row r="495" spans="1:10" x14ac:dyDescent="0.3">
      <c r="A495">
        <v>10497</v>
      </c>
      <c r="B495" s="1">
        <v>45703</v>
      </c>
      <c r="C495" t="s">
        <v>98</v>
      </c>
      <c r="D495" t="s">
        <v>26</v>
      </c>
      <c r="E495" t="s">
        <v>27</v>
      </c>
      <c r="F495" t="s">
        <v>13</v>
      </c>
      <c r="G495">
        <v>3</v>
      </c>
      <c r="H495">
        <v>13500</v>
      </c>
      <c r="I495">
        <v>0</v>
      </c>
      <c r="J495">
        <v>2430</v>
      </c>
    </row>
    <row r="496" spans="1:10" x14ac:dyDescent="0.3">
      <c r="A496">
        <v>10498</v>
      </c>
      <c r="B496" s="1">
        <v>45729</v>
      </c>
      <c r="C496" t="s">
        <v>105</v>
      </c>
      <c r="D496" t="s">
        <v>52</v>
      </c>
      <c r="E496" t="s">
        <v>24</v>
      </c>
      <c r="F496" t="s">
        <v>18</v>
      </c>
      <c r="G496">
        <v>4</v>
      </c>
      <c r="H496">
        <v>6120</v>
      </c>
      <c r="I496">
        <v>0.15</v>
      </c>
      <c r="J496">
        <v>1440</v>
      </c>
    </row>
    <row r="497" spans="1:10" x14ac:dyDescent="0.3">
      <c r="A497">
        <v>10499</v>
      </c>
      <c r="B497" s="1">
        <v>45907</v>
      </c>
      <c r="C497" t="s">
        <v>139</v>
      </c>
      <c r="D497" t="s">
        <v>41</v>
      </c>
      <c r="E497" t="s">
        <v>27</v>
      </c>
      <c r="F497" t="s">
        <v>13</v>
      </c>
      <c r="G497">
        <v>5</v>
      </c>
      <c r="H497">
        <v>233750</v>
      </c>
      <c r="I497">
        <v>0.15</v>
      </c>
      <c r="J497">
        <v>8250</v>
      </c>
    </row>
    <row r="498" spans="1:10" x14ac:dyDescent="0.3">
      <c r="A498">
        <v>10500</v>
      </c>
      <c r="B498" s="1">
        <v>45834</v>
      </c>
      <c r="C498" t="s">
        <v>87</v>
      </c>
      <c r="D498" t="s">
        <v>11</v>
      </c>
      <c r="E498" t="s">
        <v>12</v>
      </c>
      <c r="F498" t="s">
        <v>21</v>
      </c>
      <c r="G498">
        <v>5</v>
      </c>
      <c r="H498">
        <v>765</v>
      </c>
      <c r="I498">
        <v>0.15</v>
      </c>
      <c r="J498">
        <v>270</v>
      </c>
    </row>
    <row r="499" spans="1:10" x14ac:dyDescent="0.3">
      <c r="A499">
        <v>10501</v>
      </c>
      <c r="B499" s="1">
        <v>45818</v>
      </c>
      <c r="C499" t="s">
        <v>101</v>
      </c>
      <c r="D499" t="s">
        <v>30</v>
      </c>
      <c r="E499" t="s">
        <v>27</v>
      </c>
      <c r="F499" t="s">
        <v>18</v>
      </c>
      <c r="G499">
        <v>2</v>
      </c>
      <c r="H499">
        <v>51000</v>
      </c>
      <c r="I499">
        <v>0.15</v>
      </c>
      <c r="J499">
        <v>1800</v>
      </c>
    </row>
    <row r="500" spans="1:10" x14ac:dyDescent="0.3">
      <c r="A500">
        <v>10502</v>
      </c>
      <c r="B500" s="1">
        <v>45741</v>
      </c>
      <c r="C500" t="s">
        <v>53</v>
      </c>
      <c r="D500" t="s">
        <v>30</v>
      </c>
      <c r="E500" t="s">
        <v>27</v>
      </c>
      <c r="F500" t="s">
        <v>13</v>
      </c>
      <c r="G500">
        <v>5</v>
      </c>
      <c r="H500">
        <v>150000</v>
      </c>
      <c r="I500">
        <v>0</v>
      </c>
      <c r="J500">
        <v>27000</v>
      </c>
    </row>
    <row r="501" spans="1:10" x14ac:dyDescent="0.3">
      <c r="A501">
        <v>10503</v>
      </c>
      <c r="B501" s="1">
        <v>45915</v>
      </c>
      <c r="C501" t="s">
        <v>132</v>
      </c>
      <c r="D501" t="s">
        <v>34</v>
      </c>
      <c r="E501" t="s">
        <v>24</v>
      </c>
      <c r="F501" t="s">
        <v>13</v>
      </c>
      <c r="G501">
        <v>3</v>
      </c>
      <c r="H501">
        <v>6270</v>
      </c>
      <c r="I501">
        <v>0.05</v>
      </c>
      <c r="J501">
        <v>1980</v>
      </c>
    </row>
    <row r="502" spans="1:10" x14ac:dyDescent="0.3">
      <c r="A502">
        <v>10504</v>
      </c>
      <c r="B502" s="1">
        <v>45923</v>
      </c>
      <c r="C502" t="s">
        <v>66</v>
      </c>
      <c r="D502" t="s">
        <v>34</v>
      </c>
      <c r="E502" t="s">
        <v>24</v>
      </c>
      <c r="F502" t="s">
        <v>21</v>
      </c>
      <c r="G502">
        <v>2</v>
      </c>
      <c r="H502">
        <v>3520</v>
      </c>
      <c r="I502">
        <v>0.2</v>
      </c>
      <c r="J502">
        <v>660</v>
      </c>
    </row>
    <row r="503" spans="1:10" x14ac:dyDescent="0.3">
      <c r="A503">
        <v>10505</v>
      </c>
      <c r="B503" s="1">
        <v>45685</v>
      </c>
      <c r="C503" t="s">
        <v>57</v>
      </c>
      <c r="D503" t="s">
        <v>26</v>
      </c>
      <c r="E503" t="s">
        <v>27</v>
      </c>
      <c r="F503" t="s">
        <v>18</v>
      </c>
      <c r="G503">
        <v>1</v>
      </c>
      <c r="H503">
        <v>4050</v>
      </c>
      <c r="I503">
        <v>0.1</v>
      </c>
      <c r="J503">
        <v>360</v>
      </c>
    </row>
    <row r="504" spans="1:10" x14ac:dyDescent="0.3">
      <c r="A504">
        <v>10506</v>
      </c>
      <c r="B504" s="1">
        <v>45750</v>
      </c>
      <c r="C504" t="s">
        <v>25</v>
      </c>
      <c r="D504" t="s">
        <v>20</v>
      </c>
      <c r="E504" t="s">
        <v>12</v>
      </c>
      <c r="F504" t="s">
        <v>18</v>
      </c>
      <c r="G504">
        <v>3</v>
      </c>
      <c r="H504">
        <v>637.5</v>
      </c>
      <c r="I504">
        <v>0.15</v>
      </c>
      <c r="J504">
        <v>225</v>
      </c>
    </row>
    <row r="505" spans="1:10" x14ac:dyDescent="0.3">
      <c r="A505">
        <v>10507</v>
      </c>
      <c r="B505" s="1">
        <v>45925</v>
      </c>
      <c r="C505" t="s">
        <v>171</v>
      </c>
      <c r="D505" t="s">
        <v>52</v>
      </c>
      <c r="E505" t="s">
        <v>24</v>
      </c>
      <c r="F505" t="s">
        <v>36</v>
      </c>
      <c r="G505">
        <v>2</v>
      </c>
      <c r="H505">
        <v>3600</v>
      </c>
      <c r="I505">
        <v>0</v>
      </c>
      <c r="J505">
        <v>1260</v>
      </c>
    </row>
    <row r="506" spans="1:10" x14ac:dyDescent="0.3">
      <c r="A506">
        <v>10508</v>
      </c>
      <c r="B506" s="1">
        <v>45706</v>
      </c>
      <c r="C506" t="s">
        <v>101</v>
      </c>
      <c r="D506" t="s">
        <v>34</v>
      </c>
      <c r="E506" t="s">
        <v>24</v>
      </c>
      <c r="F506" t="s">
        <v>36</v>
      </c>
      <c r="G506">
        <v>5</v>
      </c>
      <c r="H506">
        <v>11000</v>
      </c>
      <c r="I506">
        <v>0</v>
      </c>
      <c r="J506">
        <v>3850</v>
      </c>
    </row>
    <row r="507" spans="1:10" x14ac:dyDescent="0.3">
      <c r="A507">
        <v>10509</v>
      </c>
      <c r="B507" s="1">
        <v>45934</v>
      </c>
      <c r="C507" t="s">
        <v>154</v>
      </c>
      <c r="D507" t="s">
        <v>23</v>
      </c>
      <c r="E507" t="s">
        <v>24</v>
      </c>
      <c r="F507" t="s">
        <v>21</v>
      </c>
      <c r="G507">
        <v>1</v>
      </c>
      <c r="H507">
        <v>1200</v>
      </c>
      <c r="I507">
        <v>0</v>
      </c>
      <c r="J507">
        <v>420</v>
      </c>
    </row>
    <row r="508" spans="1:10" x14ac:dyDescent="0.3">
      <c r="A508">
        <v>10510</v>
      </c>
      <c r="B508" s="1">
        <v>45730</v>
      </c>
      <c r="C508" t="s">
        <v>81</v>
      </c>
      <c r="D508" t="s">
        <v>17</v>
      </c>
      <c r="E508" t="s">
        <v>16</v>
      </c>
      <c r="F508" t="s">
        <v>21</v>
      </c>
      <c r="G508">
        <v>3</v>
      </c>
      <c r="H508">
        <v>36000</v>
      </c>
      <c r="I508">
        <v>0</v>
      </c>
      <c r="J508">
        <v>10080</v>
      </c>
    </row>
    <row r="509" spans="1:10" x14ac:dyDescent="0.3">
      <c r="A509">
        <v>10511</v>
      </c>
      <c r="B509" s="1">
        <v>45829</v>
      </c>
      <c r="C509" t="s">
        <v>124</v>
      </c>
      <c r="D509" t="s">
        <v>30</v>
      </c>
      <c r="E509" t="s">
        <v>27</v>
      </c>
      <c r="F509" t="s">
        <v>13</v>
      </c>
      <c r="G509">
        <v>3</v>
      </c>
      <c r="H509">
        <v>81000</v>
      </c>
      <c r="I509">
        <v>0.1</v>
      </c>
      <c r="J509">
        <v>7200</v>
      </c>
    </row>
    <row r="510" spans="1:10" x14ac:dyDescent="0.3">
      <c r="A510">
        <v>10512</v>
      </c>
      <c r="B510" s="1">
        <v>45970</v>
      </c>
      <c r="C510" t="s">
        <v>130</v>
      </c>
      <c r="D510" t="s">
        <v>11</v>
      </c>
      <c r="E510" t="s">
        <v>12</v>
      </c>
      <c r="F510" t="s">
        <v>18</v>
      </c>
      <c r="G510">
        <v>3</v>
      </c>
      <c r="H510">
        <v>486</v>
      </c>
      <c r="I510">
        <v>0.1</v>
      </c>
      <c r="J510">
        <v>189</v>
      </c>
    </row>
    <row r="511" spans="1:10" x14ac:dyDescent="0.3">
      <c r="A511">
        <v>10513</v>
      </c>
      <c r="B511" s="1">
        <v>45664</v>
      </c>
      <c r="C511" t="s">
        <v>168</v>
      </c>
      <c r="D511" t="s">
        <v>41</v>
      </c>
      <c r="E511" t="s">
        <v>27</v>
      </c>
      <c r="F511" t="s">
        <v>13</v>
      </c>
      <c r="G511">
        <v>2</v>
      </c>
      <c r="H511">
        <v>110000</v>
      </c>
      <c r="I511">
        <v>0</v>
      </c>
      <c r="J511">
        <v>19800</v>
      </c>
    </row>
    <row r="512" spans="1:10" x14ac:dyDescent="0.3">
      <c r="A512">
        <v>10514</v>
      </c>
      <c r="B512" s="1">
        <v>45859</v>
      </c>
      <c r="C512" t="s">
        <v>172</v>
      </c>
      <c r="D512" t="s">
        <v>41</v>
      </c>
      <c r="E512" t="s">
        <v>27</v>
      </c>
      <c r="F512" t="s">
        <v>18</v>
      </c>
      <c r="G512">
        <v>4</v>
      </c>
      <c r="H512">
        <v>209000</v>
      </c>
      <c r="I512">
        <v>0.05</v>
      </c>
      <c r="J512">
        <v>28600</v>
      </c>
    </row>
    <row r="513" spans="1:10" x14ac:dyDescent="0.3">
      <c r="A513">
        <v>10515</v>
      </c>
      <c r="B513" s="1">
        <v>45783</v>
      </c>
      <c r="C513" t="s">
        <v>39</v>
      </c>
      <c r="D513" t="s">
        <v>26</v>
      </c>
      <c r="E513" t="s">
        <v>27</v>
      </c>
      <c r="F513" t="s">
        <v>13</v>
      </c>
      <c r="G513">
        <v>3</v>
      </c>
      <c r="H513">
        <v>12825</v>
      </c>
      <c r="I513">
        <v>0.05</v>
      </c>
      <c r="J513">
        <v>1755</v>
      </c>
    </row>
    <row r="514" spans="1:10" x14ac:dyDescent="0.3">
      <c r="A514">
        <v>10516</v>
      </c>
      <c r="B514" s="1">
        <v>45833</v>
      </c>
      <c r="C514" t="s">
        <v>63</v>
      </c>
      <c r="D514" t="s">
        <v>41</v>
      </c>
      <c r="E514" t="s">
        <v>27</v>
      </c>
      <c r="F514" t="s">
        <v>18</v>
      </c>
      <c r="G514">
        <v>5</v>
      </c>
      <c r="H514">
        <v>247500</v>
      </c>
      <c r="I514">
        <v>0.1</v>
      </c>
      <c r="J514">
        <v>22000</v>
      </c>
    </row>
    <row r="515" spans="1:10" x14ac:dyDescent="0.3">
      <c r="A515">
        <v>10517</v>
      </c>
      <c r="B515" s="1">
        <v>45770</v>
      </c>
      <c r="C515" t="s">
        <v>105</v>
      </c>
      <c r="D515" t="s">
        <v>20</v>
      </c>
      <c r="E515" t="s">
        <v>12</v>
      </c>
      <c r="F515" t="s">
        <v>21</v>
      </c>
      <c r="G515">
        <v>1</v>
      </c>
      <c r="H515">
        <v>250</v>
      </c>
      <c r="I515">
        <v>0</v>
      </c>
      <c r="J515">
        <v>112.5</v>
      </c>
    </row>
    <row r="516" spans="1:10" x14ac:dyDescent="0.3">
      <c r="A516">
        <v>10518</v>
      </c>
      <c r="B516" s="1">
        <v>45702</v>
      </c>
      <c r="C516" t="s">
        <v>110</v>
      </c>
      <c r="D516" t="s">
        <v>15</v>
      </c>
      <c r="E516" t="s">
        <v>16</v>
      </c>
      <c r="F516" t="s">
        <v>21</v>
      </c>
      <c r="G516">
        <v>3</v>
      </c>
      <c r="H516">
        <v>40500</v>
      </c>
      <c r="I516">
        <v>0.1</v>
      </c>
      <c r="J516">
        <v>8100</v>
      </c>
    </row>
    <row r="517" spans="1:10" x14ac:dyDescent="0.3">
      <c r="A517">
        <v>10519</v>
      </c>
      <c r="B517" s="1">
        <v>45891</v>
      </c>
      <c r="C517" t="s">
        <v>51</v>
      </c>
      <c r="D517" t="s">
        <v>20</v>
      </c>
      <c r="E517" t="s">
        <v>12</v>
      </c>
      <c r="F517" t="s">
        <v>21</v>
      </c>
      <c r="G517">
        <v>3</v>
      </c>
      <c r="H517">
        <v>712.5</v>
      </c>
      <c r="I517">
        <v>0.05</v>
      </c>
      <c r="J517">
        <v>300</v>
      </c>
    </row>
    <row r="518" spans="1:10" x14ac:dyDescent="0.3">
      <c r="A518">
        <v>10520</v>
      </c>
      <c r="B518" s="1">
        <v>45902</v>
      </c>
      <c r="C518" t="s">
        <v>173</v>
      </c>
      <c r="D518" t="s">
        <v>20</v>
      </c>
      <c r="E518" t="s">
        <v>12</v>
      </c>
      <c r="F518" t="s">
        <v>21</v>
      </c>
      <c r="G518">
        <v>3</v>
      </c>
      <c r="H518">
        <v>750</v>
      </c>
      <c r="I518">
        <v>0</v>
      </c>
      <c r="J518">
        <v>337.5</v>
      </c>
    </row>
    <row r="519" spans="1:10" x14ac:dyDescent="0.3">
      <c r="A519">
        <v>10521</v>
      </c>
      <c r="B519" s="1">
        <v>45827</v>
      </c>
      <c r="C519" t="s">
        <v>180</v>
      </c>
      <c r="D519" t="s">
        <v>15</v>
      </c>
      <c r="E519" t="s">
        <v>16</v>
      </c>
      <c r="F519" t="s">
        <v>13</v>
      </c>
      <c r="G519">
        <v>2</v>
      </c>
      <c r="H519">
        <v>30000</v>
      </c>
      <c r="I519">
        <v>0</v>
      </c>
      <c r="J519">
        <v>8400</v>
      </c>
    </row>
    <row r="520" spans="1:10" x14ac:dyDescent="0.3">
      <c r="A520">
        <v>10522</v>
      </c>
      <c r="B520" s="1">
        <v>45858</v>
      </c>
      <c r="C520" t="s">
        <v>53</v>
      </c>
      <c r="D520" t="s">
        <v>26</v>
      </c>
      <c r="E520" t="s">
        <v>27</v>
      </c>
      <c r="F520" t="s">
        <v>13</v>
      </c>
      <c r="G520">
        <v>4</v>
      </c>
      <c r="H520">
        <v>13500</v>
      </c>
      <c r="I520">
        <v>0.25</v>
      </c>
      <c r="J520">
        <v>-1260</v>
      </c>
    </row>
    <row r="521" spans="1:10" x14ac:dyDescent="0.3">
      <c r="A521">
        <v>10523</v>
      </c>
      <c r="B521" s="1">
        <v>45935</v>
      </c>
      <c r="C521" t="s">
        <v>54</v>
      </c>
      <c r="D521" t="s">
        <v>17</v>
      </c>
      <c r="E521" t="s">
        <v>16</v>
      </c>
      <c r="F521" t="s">
        <v>13</v>
      </c>
      <c r="G521">
        <v>1</v>
      </c>
      <c r="H521">
        <v>11400</v>
      </c>
      <c r="I521">
        <v>0.05</v>
      </c>
      <c r="J521">
        <v>2760</v>
      </c>
    </row>
    <row r="522" spans="1:10" x14ac:dyDescent="0.3">
      <c r="A522">
        <v>10524</v>
      </c>
      <c r="B522" s="1">
        <v>45819</v>
      </c>
      <c r="C522" t="s">
        <v>105</v>
      </c>
      <c r="D522" t="s">
        <v>15</v>
      </c>
      <c r="E522" t="s">
        <v>16</v>
      </c>
      <c r="F522" t="s">
        <v>21</v>
      </c>
      <c r="G522">
        <v>1</v>
      </c>
      <c r="H522">
        <v>13500</v>
      </c>
      <c r="I522">
        <v>0.1</v>
      </c>
      <c r="J522">
        <v>2700</v>
      </c>
    </row>
    <row r="523" spans="1:10" x14ac:dyDescent="0.3">
      <c r="A523">
        <v>10525</v>
      </c>
      <c r="B523" s="1">
        <v>45699</v>
      </c>
      <c r="C523" t="s">
        <v>107</v>
      </c>
      <c r="D523" t="s">
        <v>15</v>
      </c>
      <c r="E523" t="s">
        <v>16</v>
      </c>
      <c r="F523" t="s">
        <v>18</v>
      </c>
      <c r="G523">
        <v>3</v>
      </c>
      <c r="H523">
        <v>36000</v>
      </c>
      <c r="I523">
        <v>0.2</v>
      </c>
      <c r="J523">
        <v>3600</v>
      </c>
    </row>
    <row r="524" spans="1:10" x14ac:dyDescent="0.3">
      <c r="A524">
        <v>10526</v>
      </c>
      <c r="B524" s="1">
        <v>45678</v>
      </c>
      <c r="C524" t="s">
        <v>33</v>
      </c>
      <c r="D524" t="s">
        <v>26</v>
      </c>
      <c r="E524" t="s">
        <v>27</v>
      </c>
      <c r="F524" t="s">
        <v>36</v>
      </c>
      <c r="G524">
        <v>2</v>
      </c>
      <c r="H524">
        <v>9000</v>
      </c>
      <c r="I524">
        <v>0</v>
      </c>
      <c r="J524">
        <v>1620</v>
      </c>
    </row>
    <row r="525" spans="1:10" x14ac:dyDescent="0.3">
      <c r="A525">
        <v>10527</v>
      </c>
      <c r="B525" s="1">
        <v>45749</v>
      </c>
      <c r="C525" t="s">
        <v>55</v>
      </c>
      <c r="D525" t="s">
        <v>11</v>
      </c>
      <c r="E525" t="s">
        <v>12</v>
      </c>
      <c r="F525" t="s">
        <v>13</v>
      </c>
      <c r="G525">
        <v>4</v>
      </c>
      <c r="H525">
        <v>684</v>
      </c>
      <c r="I525">
        <v>0.05</v>
      </c>
      <c r="J525">
        <v>288</v>
      </c>
    </row>
    <row r="526" spans="1:10" x14ac:dyDescent="0.3">
      <c r="A526">
        <v>10528</v>
      </c>
      <c r="B526" s="1">
        <v>45796</v>
      </c>
      <c r="C526" t="s">
        <v>148</v>
      </c>
      <c r="D526" t="s">
        <v>26</v>
      </c>
      <c r="E526" t="s">
        <v>27</v>
      </c>
      <c r="F526" t="s">
        <v>36</v>
      </c>
      <c r="G526">
        <v>5</v>
      </c>
      <c r="H526">
        <v>20250</v>
      </c>
      <c r="I526">
        <v>0.1</v>
      </c>
      <c r="J526">
        <v>1800</v>
      </c>
    </row>
    <row r="527" spans="1:10" x14ac:dyDescent="0.3">
      <c r="A527">
        <v>10529</v>
      </c>
      <c r="B527" s="1">
        <v>45932</v>
      </c>
      <c r="C527" t="s">
        <v>112</v>
      </c>
      <c r="D527" t="s">
        <v>30</v>
      </c>
      <c r="E527" t="s">
        <v>27</v>
      </c>
      <c r="F527" t="s">
        <v>18</v>
      </c>
      <c r="G527">
        <v>1</v>
      </c>
      <c r="H527">
        <v>25500</v>
      </c>
      <c r="I527">
        <v>0.15</v>
      </c>
      <c r="J527">
        <v>900</v>
      </c>
    </row>
    <row r="528" spans="1:10" x14ac:dyDescent="0.3">
      <c r="A528">
        <v>10530</v>
      </c>
      <c r="B528" s="1">
        <v>45804</v>
      </c>
      <c r="C528" t="s">
        <v>121</v>
      </c>
      <c r="D528" t="s">
        <v>15</v>
      </c>
      <c r="E528" t="s">
        <v>16</v>
      </c>
      <c r="F528" t="s">
        <v>36</v>
      </c>
      <c r="G528">
        <v>1</v>
      </c>
      <c r="H528">
        <v>12750</v>
      </c>
      <c r="I528">
        <v>0.15</v>
      </c>
      <c r="J528">
        <v>1950</v>
      </c>
    </row>
    <row r="529" spans="1:10" x14ac:dyDescent="0.3">
      <c r="A529">
        <v>10531</v>
      </c>
      <c r="B529" s="1">
        <v>45830</v>
      </c>
      <c r="C529" t="s">
        <v>78</v>
      </c>
      <c r="D529" t="s">
        <v>15</v>
      </c>
      <c r="E529" t="s">
        <v>16</v>
      </c>
      <c r="F529" t="s">
        <v>18</v>
      </c>
      <c r="G529">
        <v>2</v>
      </c>
      <c r="H529">
        <v>25500</v>
      </c>
      <c r="I529">
        <v>0.15</v>
      </c>
      <c r="J529">
        <v>3900</v>
      </c>
    </row>
    <row r="530" spans="1:10" x14ac:dyDescent="0.3">
      <c r="A530">
        <v>10532</v>
      </c>
      <c r="B530" s="1">
        <v>45662</v>
      </c>
      <c r="C530" t="s">
        <v>125</v>
      </c>
      <c r="D530" t="s">
        <v>20</v>
      </c>
      <c r="E530" t="s">
        <v>12</v>
      </c>
      <c r="F530" t="s">
        <v>13</v>
      </c>
      <c r="G530">
        <v>5</v>
      </c>
      <c r="H530">
        <v>1062.5</v>
      </c>
      <c r="I530">
        <v>0.15</v>
      </c>
      <c r="J530">
        <v>375</v>
      </c>
    </row>
    <row r="531" spans="1:10" x14ac:dyDescent="0.3">
      <c r="A531">
        <v>10533</v>
      </c>
      <c r="B531" s="1">
        <v>45804</v>
      </c>
      <c r="C531" t="s">
        <v>42</v>
      </c>
      <c r="D531" t="s">
        <v>34</v>
      </c>
      <c r="E531" t="s">
        <v>24</v>
      </c>
      <c r="F531" t="s">
        <v>18</v>
      </c>
      <c r="G531">
        <v>4</v>
      </c>
      <c r="H531">
        <v>6600</v>
      </c>
      <c r="I531">
        <v>0.25</v>
      </c>
      <c r="J531">
        <v>880</v>
      </c>
    </row>
    <row r="532" spans="1:10" x14ac:dyDescent="0.3">
      <c r="A532">
        <v>10534</v>
      </c>
      <c r="B532" s="1">
        <v>45732</v>
      </c>
      <c r="C532" t="s">
        <v>145</v>
      </c>
      <c r="D532" t="s">
        <v>17</v>
      </c>
      <c r="E532" t="s">
        <v>16</v>
      </c>
      <c r="F532" t="s">
        <v>36</v>
      </c>
      <c r="G532">
        <v>2</v>
      </c>
      <c r="H532">
        <v>21600</v>
      </c>
      <c r="I532">
        <v>0.1</v>
      </c>
      <c r="J532">
        <v>4320</v>
      </c>
    </row>
    <row r="533" spans="1:10" x14ac:dyDescent="0.3">
      <c r="A533">
        <v>10535</v>
      </c>
      <c r="B533" s="1">
        <v>45836</v>
      </c>
      <c r="C533" t="s">
        <v>35</v>
      </c>
      <c r="D533" t="s">
        <v>23</v>
      </c>
      <c r="E533" t="s">
        <v>24</v>
      </c>
      <c r="F533" t="s">
        <v>18</v>
      </c>
      <c r="G533">
        <v>3</v>
      </c>
      <c r="H533">
        <v>3240</v>
      </c>
      <c r="I533">
        <v>0.1</v>
      </c>
      <c r="J533">
        <v>900</v>
      </c>
    </row>
    <row r="534" spans="1:10" x14ac:dyDescent="0.3">
      <c r="A534">
        <v>10536</v>
      </c>
      <c r="B534" s="1">
        <v>45820</v>
      </c>
      <c r="C534" t="s">
        <v>42</v>
      </c>
      <c r="D534" t="s">
        <v>26</v>
      </c>
      <c r="E534" t="s">
        <v>27</v>
      </c>
      <c r="F534" t="s">
        <v>36</v>
      </c>
      <c r="G534">
        <v>4</v>
      </c>
      <c r="H534">
        <v>15300</v>
      </c>
      <c r="I534">
        <v>0.15</v>
      </c>
      <c r="J534">
        <v>540</v>
      </c>
    </row>
    <row r="535" spans="1:10" x14ac:dyDescent="0.3">
      <c r="A535">
        <v>10537</v>
      </c>
      <c r="B535" s="1">
        <v>45994</v>
      </c>
      <c r="C535" t="s">
        <v>53</v>
      </c>
      <c r="D535" t="s">
        <v>23</v>
      </c>
      <c r="E535" t="s">
        <v>24</v>
      </c>
      <c r="F535" t="s">
        <v>13</v>
      </c>
      <c r="G535">
        <v>4</v>
      </c>
      <c r="H535">
        <v>4800</v>
      </c>
      <c r="I535">
        <v>0</v>
      </c>
      <c r="J535">
        <v>1680</v>
      </c>
    </row>
    <row r="536" spans="1:10" x14ac:dyDescent="0.3">
      <c r="A536">
        <v>10538</v>
      </c>
      <c r="B536" s="1">
        <v>45980</v>
      </c>
      <c r="C536" t="s">
        <v>82</v>
      </c>
      <c r="D536" t="s">
        <v>52</v>
      </c>
      <c r="E536" t="s">
        <v>24</v>
      </c>
      <c r="F536" t="s">
        <v>13</v>
      </c>
      <c r="G536">
        <v>3</v>
      </c>
      <c r="H536">
        <v>5130</v>
      </c>
      <c r="I536">
        <v>0.05</v>
      </c>
      <c r="J536">
        <v>1620</v>
      </c>
    </row>
    <row r="537" spans="1:10" x14ac:dyDescent="0.3">
      <c r="A537">
        <v>10539</v>
      </c>
      <c r="B537" s="1">
        <v>46006</v>
      </c>
      <c r="C537" t="s">
        <v>166</v>
      </c>
      <c r="D537" t="s">
        <v>11</v>
      </c>
      <c r="E537" t="s">
        <v>12</v>
      </c>
      <c r="F537" t="s">
        <v>21</v>
      </c>
      <c r="G537">
        <v>2</v>
      </c>
      <c r="H537">
        <v>324</v>
      </c>
      <c r="I537">
        <v>0.1</v>
      </c>
      <c r="J537">
        <v>126</v>
      </c>
    </row>
    <row r="538" spans="1:10" x14ac:dyDescent="0.3">
      <c r="A538">
        <v>10540</v>
      </c>
      <c r="B538" s="1">
        <v>45934</v>
      </c>
      <c r="C538" t="s">
        <v>43</v>
      </c>
      <c r="D538" t="s">
        <v>34</v>
      </c>
      <c r="E538" t="s">
        <v>24</v>
      </c>
      <c r="F538" t="s">
        <v>18</v>
      </c>
      <c r="G538">
        <v>2</v>
      </c>
      <c r="H538">
        <v>3960</v>
      </c>
      <c r="I538">
        <v>0.1</v>
      </c>
      <c r="J538">
        <v>1100</v>
      </c>
    </row>
    <row r="539" spans="1:10" x14ac:dyDescent="0.3">
      <c r="A539">
        <v>10541</v>
      </c>
      <c r="B539" s="1">
        <v>45921</v>
      </c>
      <c r="C539" t="s">
        <v>74</v>
      </c>
      <c r="D539" t="s">
        <v>23</v>
      </c>
      <c r="E539" t="s">
        <v>24</v>
      </c>
      <c r="F539" t="s">
        <v>13</v>
      </c>
      <c r="G539">
        <v>3</v>
      </c>
      <c r="H539">
        <v>2700</v>
      </c>
      <c r="I539">
        <v>0.25</v>
      </c>
      <c r="J539">
        <v>360</v>
      </c>
    </row>
    <row r="540" spans="1:10" x14ac:dyDescent="0.3">
      <c r="A540">
        <v>10542</v>
      </c>
      <c r="B540" s="1">
        <v>45682</v>
      </c>
      <c r="C540" t="s">
        <v>62</v>
      </c>
      <c r="D540" t="s">
        <v>52</v>
      </c>
      <c r="E540" t="s">
        <v>24</v>
      </c>
      <c r="F540" t="s">
        <v>13</v>
      </c>
      <c r="G540">
        <v>3</v>
      </c>
      <c r="H540">
        <v>4590</v>
      </c>
      <c r="I540">
        <v>0.15</v>
      </c>
      <c r="J540">
        <v>1080</v>
      </c>
    </row>
    <row r="541" spans="1:10" x14ac:dyDescent="0.3">
      <c r="A541">
        <v>10543</v>
      </c>
      <c r="B541" s="1">
        <v>45845</v>
      </c>
      <c r="C541" t="s">
        <v>135</v>
      </c>
      <c r="D541" t="s">
        <v>15</v>
      </c>
      <c r="E541" t="s">
        <v>16</v>
      </c>
      <c r="F541" t="s">
        <v>13</v>
      </c>
      <c r="G541">
        <v>5</v>
      </c>
      <c r="H541">
        <v>63750</v>
      </c>
      <c r="I541">
        <v>0.15</v>
      </c>
      <c r="J541">
        <v>9750</v>
      </c>
    </row>
    <row r="542" spans="1:10" x14ac:dyDescent="0.3">
      <c r="A542">
        <v>10544</v>
      </c>
      <c r="B542" s="1">
        <v>45848</v>
      </c>
      <c r="C542" t="s">
        <v>73</v>
      </c>
      <c r="D542" t="s">
        <v>41</v>
      </c>
      <c r="E542" t="s">
        <v>27</v>
      </c>
      <c r="F542" t="s">
        <v>36</v>
      </c>
      <c r="G542">
        <v>4</v>
      </c>
      <c r="H542">
        <v>187000</v>
      </c>
      <c r="I542">
        <v>0.15</v>
      </c>
      <c r="J542">
        <v>6600</v>
      </c>
    </row>
    <row r="543" spans="1:10" x14ac:dyDescent="0.3">
      <c r="A543">
        <v>10545</v>
      </c>
      <c r="B543" s="1">
        <v>45917</v>
      </c>
      <c r="C543" t="s">
        <v>165</v>
      </c>
      <c r="D543" t="s">
        <v>23</v>
      </c>
      <c r="E543" t="s">
        <v>24</v>
      </c>
      <c r="F543" t="s">
        <v>36</v>
      </c>
      <c r="G543">
        <v>2</v>
      </c>
      <c r="H543">
        <v>2400</v>
      </c>
      <c r="I543">
        <v>0</v>
      </c>
      <c r="J543">
        <v>840</v>
      </c>
    </row>
    <row r="544" spans="1:10" x14ac:dyDescent="0.3">
      <c r="A544">
        <v>10546</v>
      </c>
      <c r="B544" s="1">
        <v>45830</v>
      </c>
      <c r="C544" t="s">
        <v>84</v>
      </c>
      <c r="D544" t="s">
        <v>26</v>
      </c>
      <c r="E544" t="s">
        <v>27</v>
      </c>
      <c r="F544" t="s">
        <v>13</v>
      </c>
      <c r="G544">
        <v>3</v>
      </c>
      <c r="H544">
        <v>12150</v>
      </c>
      <c r="I544">
        <v>0.1</v>
      </c>
      <c r="J544">
        <v>1080</v>
      </c>
    </row>
    <row r="545" spans="1:10" x14ac:dyDescent="0.3">
      <c r="A545">
        <v>10547</v>
      </c>
      <c r="B545" s="1">
        <v>45723</v>
      </c>
      <c r="C545" t="s">
        <v>115</v>
      </c>
      <c r="D545" t="s">
        <v>26</v>
      </c>
      <c r="E545" t="s">
        <v>27</v>
      </c>
      <c r="F545" t="s">
        <v>36</v>
      </c>
      <c r="G545">
        <v>3</v>
      </c>
      <c r="H545">
        <v>10800</v>
      </c>
      <c r="I545">
        <v>0.2</v>
      </c>
      <c r="J545">
        <v>-270</v>
      </c>
    </row>
    <row r="546" spans="1:10" x14ac:dyDescent="0.3">
      <c r="A546">
        <v>10548</v>
      </c>
      <c r="B546" s="1">
        <v>46015</v>
      </c>
      <c r="C546" t="s">
        <v>47</v>
      </c>
      <c r="D546" t="s">
        <v>30</v>
      </c>
      <c r="E546" t="s">
        <v>27</v>
      </c>
      <c r="F546" t="s">
        <v>21</v>
      </c>
      <c r="G546">
        <v>2</v>
      </c>
      <c r="H546">
        <v>57000</v>
      </c>
      <c r="I546">
        <v>0.05</v>
      </c>
      <c r="J546">
        <v>7800</v>
      </c>
    </row>
    <row r="547" spans="1:10" x14ac:dyDescent="0.3">
      <c r="A547">
        <v>10549</v>
      </c>
      <c r="B547" s="1">
        <v>45947</v>
      </c>
      <c r="C547" t="s">
        <v>59</v>
      </c>
      <c r="D547" t="s">
        <v>34</v>
      </c>
      <c r="E547" t="s">
        <v>24</v>
      </c>
      <c r="F547" t="s">
        <v>36</v>
      </c>
      <c r="G547">
        <v>5</v>
      </c>
      <c r="H547">
        <v>9350</v>
      </c>
      <c r="I547">
        <v>0.15</v>
      </c>
      <c r="J547">
        <v>2200</v>
      </c>
    </row>
    <row r="548" spans="1:10" x14ac:dyDescent="0.3">
      <c r="A548">
        <v>10550</v>
      </c>
      <c r="B548" s="1">
        <v>45888</v>
      </c>
      <c r="C548" t="s">
        <v>134</v>
      </c>
      <c r="D548" t="s">
        <v>52</v>
      </c>
      <c r="E548" t="s">
        <v>24</v>
      </c>
      <c r="F548" t="s">
        <v>36</v>
      </c>
      <c r="G548">
        <v>3</v>
      </c>
      <c r="H548">
        <v>5400</v>
      </c>
      <c r="I548">
        <v>0</v>
      </c>
      <c r="J548">
        <v>1890</v>
      </c>
    </row>
    <row r="549" spans="1:10" x14ac:dyDescent="0.3">
      <c r="A549">
        <v>10551</v>
      </c>
      <c r="B549" s="1">
        <v>45926</v>
      </c>
      <c r="C549" t="s">
        <v>156</v>
      </c>
      <c r="D549" t="s">
        <v>41</v>
      </c>
      <c r="E549" t="s">
        <v>27</v>
      </c>
      <c r="F549" t="s">
        <v>36</v>
      </c>
      <c r="G549">
        <v>1</v>
      </c>
      <c r="H549">
        <v>49500</v>
      </c>
      <c r="I549">
        <v>0.1</v>
      </c>
      <c r="J549">
        <v>4400</v>
      </c>
    </row>
    <row r="550" spans="1:10" x14ac:dyDescent="0.3">
      <c r="A550">
        <v>10552</v>
      </c>
      <c r="B550" s="1">
        <v>45871</v>
      </c>
      <c r="C550" t="s">
        <v>123</v>
      </c>
      <c r="D550" t="s">
        <v>15</v>
      </c>
      <c r="E550" t="s">
        <v>16</v>
      </c>
      <c r="F550" t="s">
        <v>13</v>
      </c>
      <c r="G550">
        <v>3</v>
      </c>
      <c r="H550">
        <v>40500</v>
      </c>
      <c r="I550">
        <v>0.1</v>
      </c>
      <c r="J550">
        <v>8100</v>
      </c>
    </row>
    <row r="551" spans="1:10" x14ac:dyDescent="0.3">
      <c r="A551">
        <v>10553</v>
      </c>
      <c r="B551" s="1">
        <v>45711</v>
      </c>
      <c r="C551" t="s">
        <v>114</v>
      </c>
      <c r="D551" t="s">
        <v>11</v>
      </c>
      <c r="E551" t="s">
        <v>12</v>
      </c>
      <c r="F551" t="s">
        <v>18</v>
      </c>
      <c r="G551">
        <v>2</v>
      </c>
      <c r="H551">
        <v>324</v>
      </c>
      <c r="I551">
        <v>0.1</v>
      </c>
      <c r="J551">
        <v>126</v>
      </c>
    </row>
    <row r="552" spans="1:10" x14ac:dyDescent="0.3">
      <c r="A552">
        <v>10554</v>
      </c>
      <c r="B552" s="1">
        <v>45710</v>
      </c>
      <c r="C552" t="s">
        <v>124</v>
      </c>
      <c r="D552" t="s">
        <v>30</v>
      </c>
      <c r="E552" t="s">
        <v>27</v>
      </c>
      <c r="F552" t="s">
        <v>21</v>
      </c>
      <c r="G552">
        <v>2</v>
      </c>
      <c r="H552">
        <v>51000</v>
      </c>
      <c r="I552">
        <v>0.15</v>
      </c>
      <c r="J552">
        <v>1800</v>
      </c>
    </row>
    <row r="553" spans="1:10" x14ac:dyDescent="0.3">
      <c r="A553">
        <v>10555</v>
      </c>
      <c r="B553" s="1">
        <v>45921</v>
      </c>
      <c r="C553" t="s">
        <v>162</v>
      </c>
      <c r="D553" t="s">
        <v>17</v>
      </c>
      <c r="E553" t="s">
        <v>16</v>
      </c>
      <c r="F553" t="s">
        <v>36</v>
      </c>
      <c r="G553">
        <v>5</v>
      </c>
      <c r="H553">
        <v>48000</v>
      </c>
      <c r="I553">
        <v>0.2</v>
      </c>
      <c r="J553">
        <v>4800</v>
      </c>
    </row>
    <row r="554" spans="1:10" x14ac:dyDescent="0.3">
      <c r="A554">
        <v>10556</v>
      </c>
      <c r="B554" s="1">
        <v>45784</v>
      </c>
      <c r="C554" t="s">
        <v>89</v>
      </c>
      <c r="D554" t="s">
        <v>30</v>
      </c>
      <c r="E554" t="s">
        <v>27</v>
      </c>
      <c r="F554" t="s">
        <v>13</v>
      </c>
      <c r="G554">
        <v>2</v>
      </c>
      <c r="H554">
        <v>51000</v>
      </c>
      <c r="I554">
        <v>0.15</v>
      </c>
      <c r="J554">
        <v>1800</v>
      </c>
    </row>
    <row r="555" spans="1:10" x14ac:dyDescent="0.3">
      <c r="A555">
        <v>10557</v>
      </c>
      <c r="B555" s="1">
        <v>46006</v>
      </c>
      <c r="C555" t="s">
        <v>72</v>
      </c>
      <c r="D555" t="s">
        <v>41</v>
      </c>
      <c r="E555" t="s">
        <v>27</v>
      </c>
      <c r="F555" t="s">
        <v>18</v>
      </c>
      <c r="G555">
        <v>1</v>
      </c>
      <c r="H555">
        <v>55000</v>
      </c>
      <c r="I555">
        <v>0</v>
      </c>
      <c r="J555">
        <v>9900</v>
      </c>
    </row>
    <row r="556" spans="1:10" x14ac:dyDescent="0.3">
      <c r="A556">
        <v>10558</v>
      </c>
      <c r="B556" s="1">
        <v>45963</v>
      </c>
      <c r="C556" t="s">
        <v>139</v>
      </c>
      <c r="D556" t="s">
        <v>20</v>
      </c>
      <c r="E556" t="s">
        <v>12</v>
      </c>
      <c r="F556" t="s">
        <v>13</v>
      </c>
      <c r="G556">
        <v>1</v>
      </c>
      <c r="H556">
        <v>250</v>
      </c>
      <c r="I556">
        <v>0</v>
      </c>
      <c r="J556">
        <v>112.5</v>
      </c>
    </row>
    <row r="557" spans="1:10" x14ac:dyDescent="0.3">
      <c r="A557">
        <v>10559</v>
      </c>
      <c r="B557" s="1">
        <v>45977</v>
      </c>
      <c r="C557" t="s">
        <v>39</v>
      </c>
      <c r="D557" t="s">
        <v>20</v>
      </c>
      <c r="E557" t="s">
        <v>12</v>
      </c>
      <c r="F557" t="s">
        <v>13</v>
      </c>
      <c r="G557">
        <v>5</v>
      </c>
      <c r="H557">
        <v>937.5</v>
      </c>
      <c r="I557">
        <v>0.25</v>
      </c>
      <c r="J557">
        <v>250</v>
      </c>
    </row>
    <row r="558" spans="1:10" x14ac:dyDescent="0.3">
      <c r="A558">
        <v>10560</v>
      </c>
      <c r="B558" s="1">
        <v>45819</v>
      </c>
      <c r="C558" t="s">
        <v>153</v>
      </c>
      <c r="D558" t="s">
        <v>41</v>
      </c>
      <c r="E558" t="s">
        <v>27</v>
      </c>
      <c r="F558" t="s">
        <v>21</v>
      </c>
      <c r="G558">
        <v>3</v>
      </c>
      <c r="H558">
        <v>156750</v>
      </c>
      <c r="I558">
        <v>0.05</v>
      </c>
      <c r="J558">
        <v>21450</v>
      </c>
    </row>
    <row r="559" spans="1:10" x14ac:dyDescent="0.3">
      <c r="A559">
        <v>10561</v>
      </c>
      <c r="B559" s="1">
        <v>45855</v>
      </c>
      <c r="C559" t="s">
        <v>64</v>
      </c>
      <c r="D559" t="s">
        <v>26</v>
      </c>
      <c r="E559" t="s">
        <v>27</v>
      </c>
      <c r="F559" t="s">
        <v>18</v>
      </c>
      <c r="G559">
        <v>5</v>
      </c>
      <c r="H559">
        <v>20250</v>
      </c>
      <c r="I559">
        <v>0.1</v>
      </c>
      <c r="J559">
        <v>1800</v>
      </c>
    </row>
    <row r="560" spans="1:10" x14ac:dyDescent="0.3">
      <c r="A560">
        <v>10562</v>
      </c>
      <c r="B560" s="1">
        <v>45875</v>
      </c>
      <c r="C560" t="s">
        <v>61</v>
      </c>
      <c r="D560" t="s">
        <v>26</v>
      </c>
      <c r="E560" t="s">
        <v>27</v>
      </c>
      <c r="F560" t="s">
        <v>36</v>
      </c>
      <c r="G560">
        <v>5</v>
      </c>
      <c r="H560">
        <v>22500</v>
      </c>
      <c r="I560">
        <v>0</v>
      </c>
      <c r="J560">
        <v>4050</v>
      </c>
    </row>
    <row r="561" spans="1:10" x14ac:dyDescent="0.3">
      <c r="A561">
        <v>10563</v>
      </c>
      <c r="B561" s="1">
        <v>45870</v>
      </c>
      <c r="C561" t="s">
        <v>163</v>
      </c>
      <c r="D561" t="s">
        <v>23</v>
      </c>
      <c r="E561" t="s">
        <v>24</v>
      </c>
      <c r="F561" t="s">
        <v>36</v>
      </c>
      <c r="G561">
        <v>2</v>
      </c>
      <c r="H561">
        <v>2400</v>
      </c>
      <c r="I561">
        <v>0</v>
      </c>
      <c r="J561">
        <v>840</v>
      </c>
    </row>
    <row r="562" spans="1:10" x14ac:dyDescent="0.3">
      <c r="A562">
        <v>10564</v>
      </c>
      <c r="B562" s="1">
        <v>45668</v>
      </c>
      <c r="C562" t="s">
        <v>148</v>
      </c>
      <c r="D562" t="s">
        <v>15</v>
      </c>
      <c r="E562" t="s">
        <v>16</v>
      </c>
      <c r="F562" t="s">
        <v>18</v>
      </c>
      <c r="G562">
        <v>1</v>
      </c>
      <c r="H562">
        <v>14250</v>
      </c>
      <c r="I562">
        <v>0.05</v>
      </c>
      <c r="J562">
        <v>3450</v>
      </c>
    </row>
    <row r="563" spans="1:10" x14ac:dyDescent="0.3">
      <c r="A563">
        <v>10565</v>
      </c>
      <c r="B563" s="1">
        <v>45868</v>
      </c>
      <c r="C563" t="s">
        <v>174</v>
      </c>
      <c r="D563" t="s">
        <v>23</v>
      </c>
      <c r="E563" t="s">
        <v>24</v>
      </c>
      <c r="F563" t="s">
        <v>13</v>
      </c>
      <c r="G563">
        <v>1</v>
      </c>
      <c r="H563">
        <v>1200</v>
      </c>
      <c r="I563">
        <v>0</v>
      </c>
      <c r="J563">
        <v>420</v>
      </c>
    </row>
    <row r="564" spans="1:10" x14ac:dyDescent="0.3">
      <c r="A564">
        <v>10566</v>
      </c>
      <c r="B564" s="1">
        <v>45961</v>
      </c>
      <c r="C564" t="s">
        <v>50</v>
      </c>
      <c r="D564" t="s">
        <v>34</v>
      </c>
      <c r="E564" t="s">
        <v>24</v>
      </c>
      <c r="F564" t="s">
        <v>18</v>
      </c>
      <c r="G564">
        <v>1</v>
      </c>
      <c r="H564">
        <v>2090</v>
      </c>
      <c r="I564">
        <v>0.05</v>
      </c>
      <c r="J564">
        <v>660</v>
      </c>
    </row>
    <row r="565" spans="1:10" x14ac:dyDescent="0.3">
      <c r="A565">
        <v>10567</v>
      </c>
      <c r="B565" s="1">
        <v>45803</v>
      </c>
      <c r="C565" t="s">
        <v>175</v>
      </c>
      <c r="D565" t="s">
        <v>23</v>
      </c>
      <c r="E565" t="s">
        <v>24</v>
      </c>
      <c r="F565" t="s">
        <v>18</v>
      </c>
      <c r="G565">
        <v>3</v>
      </c>
      <c r="H565">
        <v>3240</v>
      </c>
      <c r="I565">
        <v>0.1</v>
      </c>
      <c r="J565">
        <v>900</v>
      </c>
    </row>
    <row r="566" spans="1:10" x14ac:dyDescent="0.3">
      <c r="A566">
        <v>10568</v>
      </c>
      <c r="B566" s="1">
        <v>45886</v>
      </c>
      <c r="C566" t="s">
        <v>100</v>
      </c>
      <c r="D566" t="s">
        <v>11</v>
      </c>
      <c r="E566" t="s">
        <v>12</v>
      </c>
      <c r="F566" t="s">
        <v>18</v>
      </c>
      <c r="G566">
        <v>1</v>
      </c>
      <c r="H566">
        <v>171</v>
      </c>
      <c r="I566">
        <v>0.05</v>
      </c>
      <c r="J566">
        <v>72</v>
      </c>
    </row>
    <row r="567" spans="1:10" x14ac:dyDescent="0.3">
      <c r="A567">
        <v>10569</v>
      </c>
      <c r="B567" s="1">
        <v>45967</v>
      </c>
      <c r="C567" t="s">
        <v>153</v>
      </c>
      <c r="D567" t="s">
        <v>30</v>
      </c>
      <c r="E567" t="s">
        <v>27</v>
      </c>
      <c r="F567" t="s">
        <v>13</v>
      </c>
      <c r="G567">
        <v>1</v>
      </c>
      <c r="H567">
        <v>25500</v>
      </c>
      <c r="I567">
        <v>0.15</v>
      </c>
      <c r="J567">
        <v>900</v>
      </c>
    </row>
    <row r="568" spans="1:10" x14ac:dyDescent="0.3">
      <c r="A568">
        <v>10570</v>
      </c>
      <c r="B568" s="1">
        <v>45873</v>
      </c>
      <c r="C568" t="s">
        <v>139</v>
      </c>
      <c r="D568" t="s">
        <v>11</v>
      </c>
      <c r="E568" t="s">
        <v>12</v>
      </c>
      <c r="F568" t="s">
        <v>36</v>
      </c>
      <c r="G568">
        <v>5</v>
      </c>
      <c r="H568">
        <v>900</v>
      </c>
      <c r="I568">
        <v>0</v>
      </c>
      <c r="J568">
        <v>405</v>
      </c>
    </row>
    <row r="569" spans="1:10" x14ac:dyDescent="0.3">
      <c r="A569">
        <v>10571</v>
      </c>
      <c r="B569" s="1">
        <v>45983</v>
      </c>
      <c r="C569" t="s">
        <v>163</v>
      </c>
      <c r="D569" t="s">
        <v>17</v>
      </c>
      <c r="E569" t="s">
        <v>16</v>
      </c>
      <c r="F569" t="s">
        <v>18</v>
      </c>
      <c r="G569">
        <v>2</v>
      </c>
      <c r="H569">
        <v>20400</v>
      </c>
      <c r="I569">
        <v>0.15</v>
      </c>
      <c r="J569">
        <v>3120</v>
      </c>
    </row>
    <row r="570" spans="1:10" x14ac:dyDescent="0.3">
      <c r="A570">
        <v>10572</v>
      </c>
      <c r="B570" s="1">
        <v>45909</v>
      </c>
      <c r="C570" t="s">
        <v>92</v>
      </c>
      <c r="D570" t="s">
        <v>52</v>
      </c>
      <c r="E570" t="s">
        <v>24</v>
      </c>
      <c r="F570" t="s">
        <v>13</v>
      </c>
      <c r="G570">
        <v>1</v>
      </c>
      <c r="H570">
        <v>1440</v>
      </c>
      <c r="I570">
        <v>0.2</v>
      </c>
      <c r="J570">
        <v>270</v>
      </c>
    </row>
    <row r="571" spans="1:10" x14ac:dyDescent="0.3">
      <c r="A571">
        <v>10573</v>
      </c>
      <c r="B571" s="1">
        <v>45960</v>
      </c>
      <c r="C571" t="s">
        <v>134</v>
      </c>
      <c r="D571" t="s">
        <v>41</v>
      </c>
      <c r="E571" t="s">
        <v>27</v>
      </c>
      <c r="F571" t="s">
        <v>21</v>
      </c>
      <c r="G571">
        <v>2</v>
      </c>
      <c r="H571">
        <v>99000</v>
      </c>
      <c r="I571">
        <v>0.1</v>
      </c>
      <c r="J571">
        <v>8800</v>
      </c>
    </row>
    <row r="572" spans="1:10" x14ac:dyDescent="0.3">
      <c r="A572">
        <v>10574</v>
      </c>
      <c r="B572" s="1">
        <v>46013</v>
      </c>
      <c r="C572" t="s">
        <v>66</v>
      </c>
      <c r="D572" t="s">
        <v>15</v>
      </c>
      <c r="E572" t="s">
        <v>16</v>
      </c>
      <c r="F572" t="s">
        <v>21</v>
      </c>
      <c r="G572">
        <v>2</v>
      </c>
      <c r="H572">
        <v>30000</v>
      </c>
      <c r="I572">
        <v>0</v>
      </c>
      <c r="J572">
        <v>8400</v>
      </c>
    </row>
    <row r="573" spans="1:10" x14ac:dyDescent="0.3">
      <c r="A573">
        <v>10575</v>
      </c>
      <c r="B573" s="1">
        <v>45759</v>
      </c>
      <c r="C573" t="s">
        <v>148</v>
      </c>
      <c r="D573" t="s">
        <v>26</v>
      </c>
      <c r="E573" t="s">
        <v>27</v>
      </c>
      <c r="F573" t="s">
        <v>18</v>
      </c>
      <c r="G573">
        <v>1</v>
      </c>
      <c r="H573">
        <v>3825</v>
      </c>
      <c r="I573">
        <v>0.15</v>
      </c>
      <c r="J573">
        <v>135</v>
      </c>
    </row>
    <row r="574" spans="1:10" x14ac:dyDescent="0.3">
      <c r="A574">
        <v>10576</v>
      </c>
      <c r="B574" s="1">
        <v>45828</v>
      </c>
      <c r="C574" t="s">
        <v>81</v>
      </c>
      <c r="D574" t="s">
        <v>20</v>
      </c>
      <c r="E574" t="s">
        <v>12</v>
      </c>
      <c r="F574" t="s">
        <v>18</v>
      </c>
      <c r="G574">
        <v>4</v>
      </c>
      <c r="H574">
        <v>1000</v>
      </c>
      <c r="I574">
        <v>0</v>
      </c>
      <c r="J574">
        <v>450</v>
      </c>
    </row>
    <row r="575" spans="1:10" x14ac:dyDescent="0.3">
      <c r="A575">
        <v>10577</v>
      </c>
      <c r="B575" s="1">
        <v>45813</v>
      </c>
      <c r="C575" t="s">
        <v>103</v>
      </c>
      <c r="D575" t="s">
        <v>34</v>
      </c>
      <c r="E575" t="s">
        <v>24</v>
      </c>
      <c r="F575" t="s">
        <v>36</v>
      </c>
      <c r="G575">
        <v>1</v>
      </c>
      <c r="H575">
        <v>2090</v>
      </c>
      <c r="I575">
        <v>0.05</v>
      </c>
      <c r="J575">
        <v>660</v>
      </c>
    </row>
    <row r="576" spans="1:10" x14ac:dyDescent="0.3">
      <c r="A576">
        <v>10578</v>
      </c>
      <c r="B576" s="1">
        <v>45940</v>
      </c>
      <c r="C576" t="s">
        <v>126</v>
      </c>
      <c r="D576" t="s">
        <v>41</v>
      </c>
      <c r="E576" t="s">
        <v>27</v>
      </c>
      <c r="F576" t="s">
        <v>36</v>
      </c>
      <c r="G576">
        <v>4</v>
      </c>
      <c r="H576">
        <v>165000</v>
      </c>
      <c r="I576">
        <v>0.25</v>
      </c>
      <c r="J576">
        <v>-15400</v>
      </c>
    </row>
    <row r="577" spans="1:10" x14ac:dyDescent="0.3">
      <c r="A577">
        <v>10579</v>
      </c>
      <c r="B577" s="1">
        <v>45664</v>
      </c>
      <c r="C577" t="s">
        <v>133</v>
      </c>
      <c r="D577" t="s">
        <v>15</v>
      </c>
      <c r="E577" t="s">
        <v>16</v>
      </c>
      <c r="F577" t="s">
        <v>21</v>
      </c>
      <c r="G577">
        <v>1</v>
      </c>
      <c r="H577">
        <v>12750</v>
      </c>
      <c r="I577">
        <v>0.15</v>
      </c>
      <c r="J577">
        <v>1950</v>
      </c>
    </row>
    <row r="578" spans="1:10" x14ac:dyDescent="0.3">
      <c r="A578">
        <v>10580</v>
      </c>
      <c r="B578" s="1">
        <v>45885</v>
      </c>
      <c r="C578" t="s">
        <v>69</v>
      </c>
      <c r="D578" t="s">
        <v>15</v>
      </c>
      <c r="E578" t="s">
        <v>16</v>
      </c>
      <c r="F578" t="s">
        <v>36</v>
      </c>
      <c r="G578">
        <v>4</v>
      </c>
      <c r="H578">
        <v>54000</v>
      </c>
      <c r="I578">
        <v>0.1</v>
      </c>
      <c r="J578">
        <v>10800</v>
      </c>
    </row>
    <row r="579" spans="1:10" x14ac:dyDescent="0.3">
      <c r="A579">
        <v>10581</v>
      </c>
      <c r="B579" s="1">
        <v>45874</v>
      </c>
      <c r="C579" t="s">
        <v>98</v>
      </c>
      <c r="D579" t="s">
        <v>23</v>
      </c>
      <c r="E579" t="s">
        <v>24</v>
      </c>
      <c r="F579" t="s">
        <v>21</v>
      </c>
      <c r="G579">
        <v>3</v>
      </c>
      <c r="H579">
        <v>3060</v>
      </c>
      <c r="I579">
        <v>0.15</v>
      </c>
      <c r="J579">
        <v>720</v>
      </c>
    </row>
    <row r="580" spans="1:10" x14ac:dyDescent="0.3">
      <c r="A580">
        <v>10582</v>
      </c>
      <c r="B580" s="1">
        <v>45814</v>
      </c>
      <c r="C580" t="s">
        <v>107</v>
      </c>
      <c r="D580" t="s">
        <v>17</v>
      </c>
      <c r="E580" t="s">
        <v>16</v>
      </c>
      <c r="F580" t="s">
        <v>21</v>
      </c>
      <c r="G580">
        <v>3</v>
      </c>
      <c r="H580">
        <v>30600</v>
      </c>
      <c r="I580">
        <v>0.15</v>
      </c>
      <c r="J580">
        <v>4680</v>
      </c>
    </row>
    <row r="581" spans="1:10" x14ac:dyDescent="0.3">
      <c r="A581">
        <v>10583</v>
      </c>
      <c r="B581" s="1">
        <v>45747</v>
      </c>
      <c r="C581" t="s">
        <v>73</v>
      </c>
      <c r="D581" t="s">
        <v>11</v>
      </c>
      <c r="E581" t="s">
        <v>12</v>
      </c>
      <c r="F581" t="s">
        <v>13</v>
      </c>
      <c r="G581">
        <v>4</v>
      </c>
      <c r="H581">
        <v>720</v>
      </c>
      <c r="I581">
        <v>0</v>
      </c>
      <c r="J581">
        <v>324</v>
      </c>
    </row>
    <row r="582" spans="1:10" x14ac:dyDescent="0.3">
      <c r="A582">
        <v>10584</v>
      </c>
      <c r="B582" s="1">
        <v>45988</v>
      </c>
      <c r="C582" t="s">
        <v>145</v>
      </c>
      <c r="D582" t="s">
        <v>11</v>
      </c>
      <c r="E582" t="s">
        <v>12</v>
      </c>
      <c r="F582" t="s">
        <v>18</v>
      </c>
      <c r="G582">
        <v>5</v>
      </c>
      <c r="H582">
        <v>810</v>
      </c>
      <c r="I582">
        <v>0.1</v>
      </c>
      <c r="J582">
        <v>315</v>
      </c>
    </row>
    <row r="583" spans="1:10" x14ac:dyDescent="0.3">
      <c r="A583">
        <v>10585</v>
      </c>
      <c r="B583" s="1">
        <v>45747</v>
      </c>
      <c r="C583" t="s">
        <v>32</v>
      </c>
      <c r="D583" t="s">
        <v>20</v>
      </c>
      <c r="E583" t="s">
        <v>12</v>
      </c>
      <c r="F583" t="s">
        <v>13</v>
      </c>
      <c r="G583">
        <v>1</v>
      </c>
      <c r="H583">
        <v>237.5</v>
      </c>
      <c r="I583">
        <v>0.05</v>
      </c>
      <c r="J583">
        <v>100</v>
      </c>
    </row>
    <row r="584" spans="1:10" x14ac:dyDescent="0.3">
      <c r="A584">
        <v>10586</v>
      </c>
      <c r="B584" s="1">
        <v>45958</v>
      </c>
      <c r="C584" t="s">
        <v>109</v>
      </c>
      <c r="D584" t="s">
        <v>34</v>
      </c>
      <c r="E584" t="s">
        <v>24</v>
      </c>
      <c r="F584" t="s">
        <v>36</v>
      </c>
      <c r="G584">
        <v>1</v>
      </c>
      <c r="H584">
        <v>1870</v>
      </c>
      <c r="I584">
        <v>0.15</v>
      </c>
      <c r="J584">
        <v>440</v>
      </c>
    </row>
    <row r="585" spans="1:10" x14ac:dyDescent="0.3">
      <c r="A585">
        <v>10587</v>
      </c>
      <c r="B585" s="1">
        <v>45978</v>
      </c>
      <c r="C585" t="s">
        <v>137</v>
      </c>
      <c r="D585" t="s">
        <v>15</v>
      </c>
      <c r="E585" t="s">
        <v>16</v>
      </c>
      <c r="F585" t="s">
        <v>36</v>
      </c>
      <c r="G585">
        <v>4</v>
      </c>
      <c r="H585">
        <v>57000</v>
      </c>
      <c r="I585">
        <v>0.05</v>
      </c>
      <c r="J585">
        <v>13800</v>
      </c>
    </row>
    <row r="586" spans="1:10" x14ac:dyDescent="0.3">
      <c r="A586">
        <v>10588</v>
      </c>
      <c r="B586" s="1">
        <v>45816</v>
      </c>
      <c r="C586" t="s">
        <v>74</v>
      </c>
      <c r="D586" t="s">
        <v>17</v>
      </c>
      <c r="E586" t="s">
        <v>16</v>
      </c>
      <c r="F586" t="s">
        <v>13</v>
      </c>
      <c r="G586">
        <v>4</v>
      </c>
      <c r="H586">
        <v>43200</v>
      </c>
      <c r="I586">
        <v>0.1</v>
      </c>
      <c r="J586">
        <v>8640</v>
      </c>
    </row>
    <row r="587" spans="1:10" x14ac:dyDescent="0.3">
      <c r="A587">
        <v>10589</v>
      </c>
      <c r="B587" s="1">
        <v>46018</v>
      </c>
      <c r="C587" t="s">
        <v>65</v>
      </c>
      <c r="D587" t="s">
        <v>30</v>
      </c>
      <c r="E587" t="s">
        <v>27</v>
      </c>
      <c r="F587" t="s">
        <v>13</v>
      </c>
      <c r="G587">
        <v>5</v>
      </c>
      <c r="H587">
        <v>135000</v>
      </c>
      <c r="I587">
        <v>0.1</v>
      </c>
      <c r="J587">
        <v>12000</v>
      </c>
    </row>
    <row r="588" spans="1:10" x14ac:dyDescent="0.3">
      <c r="A588">
        <v>10590</v>
      </c>
      <c r="B588" s="1">
        <v>45881</v>
      </c>
      <c r="C588" t="s">
        <v>118</v>
      </c>
      <c r="D588" t="s">
        <v>30</v>
      </c>
      <c r="E588" t="s">
        <v>27</v>
      </c>
      <c r="F588" t="s">
        <v>21</v>
      </c>
      <c r="G588">
        <v>3</v>
      </c>
      <c r="H588">
        <v>76500</v>
      </c>
      <c r="I588">
        <v>0.15</v>
      </c>
      <c r="J588">
        <v>2700</v>
      </c>
    </row>
    <row r="589" spans="1:10" x14ac:dyDescent="0.3">
      <c r="A589">
        <v>10591</v>
      </c>
      <c r="B589" s="1">
        <v>45719</v>
      </c>
      <c r="C589" t="s">
        <v>76</v>
      </c>
      <c r="D589" t="s">
        <v>15</v>
      </c>
      <c r="E589" t="s">
        <v>16</v>
      </c>
      <c r="F589" t="s">
        <v>21</v>
      </c>
      <c r="G589">
        <v>5</v>
      </c>
      <c r="H589">
        <v>67500</v>
      </c>
      <c r="I589">
        <v>0.1</v>
      </c>
      <c r="J589">
        <v>13500</v>
      </c>
    </row>
    <row r="590" spans="1:10" x14ac:dyDescent="0.3">
      <c r="A590">
        <v>10592</v>
      </c>
      <c r="B590" s="1">
        <v>45880</v>
      </c>
      <c r="C590" t="s">
        <v>57</v>
      </c>
      <c r="D590" t="s">
        <v>30</v>
      </c>
      <c r="E590" t="s">
        <v>27</v>
      </c>
      <c r="F590" t="s">
        <v>21</v>
      </c>
      <c r="G590">
        <v>2</v>
      </c>
      <c r="H590">
        <v>57000</v>
      </c>
      <c r="I590">
        <v>0.05</v>
      </c>
      <c r="J590">
        <v>7800</v>
      </c>
    </row>
    <row r="591" spans="1:10" x14ac:dyDescent="0.3">
      <c r="A591">
        <v>10593</v>
      </c>
      <c r="B591" s="1">
        <v>45892</v>
      </c>
      <c r="C591" t="s">
        <v>48</v>
      </c>
      <c r="D591" t="s">
        <v>20</v>
      </c>
      <c r="E591" t="s">
        <v>12</v>
      </c>
      <c r="F591" t="s">
        <v>13</v>
      </c>
      <c r="G591">
        <v>5</v>
      </c>
      <c r="H591">
        <v>1125</v>
      </c>
      <c r="I591">
        <v>0.1</v>
      </c>
      <c r="J591">
        <v>437.5</v>
      </c>
    </row>
    <row r="592" spans="1:10" x14ac:dyDescent="0.3">
      <c r="A592">
        <v>10594</v>
      </c>
      <c r="B592" s="1">
        <v>45668</v>
      </c>
      <c r="C592" t="s">
        <v>116</v>
      </c>
      <c r="D592" t="s">
        <v>41</v>
      </c>
      <c r="E592" t="s">
        <v>27</v>
      </c>
      <c r="F592" t="s">
        <v>18</v>
      </c>
      <c r="G592">
        <v>3</v>
      </c>
      <c r="H592">
        <v>140250</v>
      </c>
      <c r="I592">
        <v>0.15</v>
      </c>
      <c r="J592">
        <v>4950</v>
      </c>
    </row>
    <row r="593" spans="1:10" x14ac:dyDescent="0.3">
      <c r="A593">
        <v>10595</v>
      </c>
      <c r="B593" s="1">
        <v>46012</v>
      </c>
      <c r="C593" t="s">
        <v>42</v>
      </c>
      <c r="D593" t="s">
        <v>20</v>
      </c>
      <c r="E593" t="s">
        <v>12</v>
      </c>
      <c r="F593" t="s">
        <v>18</v>
      </c>
      <c r="G593">
        <v>1</v>
      </c>
      <c r="H593">
        <v>237.5</v>
      </c>
      <c r="I593">
        <v>0.05</v>
      </c>
      <c r="J593">
        <v>100</v>
      </c>
    </row>
    <row r="594" spans="1:10" x14ac:dyDescent="0.3">
      <c r="A594">
        <v>10596</v>
      </c>
      <c r="B594" s="1">
        <v>46014</v>
      </c>
      <c r="C594" t="s">
        <v>38</v>
      </c>
      <c r="D594" t="s">
        <v>34</v>
      </c>
      <c r="E594" t="s">
        <v>24</v>
      </c>
      <c r="F594" t="s">
        <v>21</v>
      </c>
      <c r="G594">
        <v>1</v>
      </c>
      <c r="H594">
        <v>2090</v>
      </c>
      <c r="I594">
        <v>0.05</v>
      </c>
      <c r="J594">
        <v>660</v>
      </c>
    </row>
    <row r="595" spans="1:10" x14ac:dyDescent="0.3">
      <c r="A595">
        <v>10597</v>
      </c>
      <c r="B595" s="1">
        <v>45917</v>
      </c>
      <c r="C595" t="s">
        <v>48</v>
      </c>
      <c r="D595" t="s">
        <v>26</v>
      </c>
      <c r="E595" t="s">
        <v>27</v>
      </c>
      <c r="F595" t="s">
        <v>36</v>
      </c>
      <c r="G595">
        <v>2</v>
      </c>
      <c r="H595">
        <v>6750</v>
      </c>
      <c r="I595">
        <v>0.25</v>
      </c>
      <c r="J595">
        <v>-630</v>
      </c>
    </row>
    <row r="596" spans="1:10" x14ac:dyDescent="0.3">
      <c r="A596">
        <v>10598</v>
      </c>
      <c r="B596" s="1">
        <v>45902</v>
      </c>
      <c r="C596" t="s">
        <v>86</v>
      </c>
      <c r="D596" t="s">
        <v>30</v>
      </c>
      <c r="E596" t="s">
        <v>27</v>
      </c>
      <c r="F596" t="s">
        <v>21</v>
      </c>
      <c r="G596">
        <v>1</v>
      </c>
      <c r="H596">
        <v>22500</v>
      </c>
      <c r="I596">
        <v>0.25</v>
      </c>
      <c r="J596">
        <v>-2100</v>
      </c>
    </row>
    <row r="597" spans="1:10" x14ac:dyDescent="0.3">
      <c r="A597">
        <v>10599</v>
      </c>
      <c r="B597" s="1">
        <v>46009</v>
      </c>
      <c r="C597" t="s">
        <v>120</v>
      </c>
      <c r="D597" t="s">
        <v>30</v>
      </c>
      <c r="E597" t="s">
        <v>27</v>
      </c>
      <c r="F597" t="s">
        <v>13</v>
      </c>
      <c r="G597">
        <v>5</v>
      </c>
      <c r="H597">
        <v>120000</v>
      </c>
      <c r="I597">
        <v>0.2</v>
      </c>
      <c r="J597">
        <v>-3000</v>
      </c>
    </row>
    <row r="598" spans="1:10" x14ac:dyDescent="0.3">
      <c r="A598">
        <v>10600</v>
      </c>
      <c r="B598" s="1">
        <v>45745</v>
      </c>
      <c r="C598" t="s">
        <v>76</v>
      </c>
      <c r="D598" t="s">
        <v>11</v>
      </c>
      <c r="E598" t="s">
        <v>12</v>
      </c>
      <c r="F598" t="s">
        <v>13</v>
      </c>
      <c r="G598">
        <v>1</v>
      </c>
      <c r="H598">
        <v>180</v>
      </c>
      <c r="I598">
        <v>0</v>
      </c>
      <c r="J598">
        <v>81</v>
      </c>
    </row>
    <row r="599" spans="1:10" x14ac:dyDescent="0.3">
      <c r="A599">
        <v>10602</v>
      </c>
      <c r="B599" s="1">
        <v>45827</v>
      </c>
      <c r="C599" t="s">
        <v>73</v>
      </c>
      <c r="D599" t="s">
        <v>34</v>
      </c>
      <c r="E599" t="s">
        <v>24</v>
      </c>
      <c r="F599" t="s">
        <v>21</v>
      </c>
      <c r="G599">
        <v>3</v>
      </c>
      <c r="H599">
        <v>6600</v>
      </c>
      <c r="I599">
        <v>0</v>
      </c>
      <c r="J599">
        <v>2310</v>
      </c>
    </row>
    <row r="600" spans="1:10" x14ac:dyDescent="0.3">
      <c r="A600">
        <v>10603</v>
      </c>
      <c r="B600" s="1">
        <v>45812</v>
      </c>
      <c r="C600" t="s">
        <v>122</v>
      </c>
      <c r="D600" t="s">
        <v>11</v>
      </c>
      <c r="E600" t="s">
        <v>12</v>
      </c>
      <c r="F600" t="s">
        <v>13</v>
      </c>
      <c r="G600">
        <v>3</v>
      </c>
      <c r="H600">
        <v>513</v>
      </c>
      <c r="I600">
        <v>0.05</v>
      </c>
      <c r="J600">
        <v>216</v>
      </c>
    </row>
    <row r="601" spans="1:10" x14ac:dyDescent="0.3">
      <c r="A601">
        <v>10604</v>
      </c>
      <c r="B601" s="1">
        <v>45667</v>
      </c>
      <c r="C601" t="s">
        <v>94</v>
      </c>
      <c r="D601" t="s">
        <v>26</v>
      </c>
      <c r="E601" t="s">
        <v>27</v>
      </c>
      <c r="F601" t="s">
        <v>21</v>
      </c>
      <c r="G601">
        <v>4</v>
      </c>
      <c r="H601">
        <v>15300</v>
      </c>
      <c r="I601">
        <v>0.15</v>
      </c>
      <c r="J601">
        <v>540</v>
      </c>
    </row>
    <row r="602" spans="1:10" x14ac:dyDescent="0.3">
      <c r="A602">
        <v>10605</v>
      </c>
      <c r="B602" s="1">
        <v>45786</v>
      </c>
      <c r="C602" t="s">
        <v>38</v>
      </c>
      <c r="D602" t="s">
        <v>52</v>
      </c>
      <c r="E602" t="s">
        <v>24</v>
      </c>
      <c r="F602" t="s">
        <v>13</v>
      </c>
      <c r="G602">
        <v>3</v>
      </c>
      <c r="H602">
        <v>4050</v>
      </c>
      <c r="I602">
        <v>0.25</v>
      </c>
      <c r="J602">
        <v>540</v>
      </c>
    </row>
    <row r="603" spans="1:10" x14ac:dyDescent="0.3">
      <c r="A603">
        <v>10606</v>
      </c>
      <c r="B603" s="1">
        <v>45774</v>
      </c>
      <c r="C603" t="s">
        <v>120</v>
      </c>
      <c r="D603" t="s">
        <v>11</v>
      </c>
      <c r="E603" t="s">
        <v>12</v>
      </c>
      <c r="F603" t="s">
        <v>36</v>
      </c>
      <c r="G603">
        <v>1</v>
      </c>
      <c r="H603">
        <v>162</v>
      </c>
      <c r="I603">
        <v>0.1</v>
      </c>
      <c r="J603">
        <v>63</v>
      </c>
    </row>
    <row r="604" spans="1:10" x14ac:dyDescent="0.3">
      <c r="A604">
        <v>10607</v>
      </c>
      <c r="B604" s="1">
        <v>46003</v>
      </c>
      <c r="C604" t="s">
        <v>148</v>
      </c>
      <c r="D604" t="s">
        <v>26</v>
      </c>
      <c r="E604" t="s">
        <v>27</v>
      </c>
      <c r="F604" t="s">
        <v>21</v>
      </c>
      <c r="G604">
        <v>1</v>
      </c>
      <c r="H604">
        <v>4050</v>
      </c>
      <c r="I604">
        <v>0.1</v>
      </c>
      <c r="J604">
        <v>360</v>
      </c>
    </row>
    <row r="605" spans="1:10" x14ac:dyDescent="0.3">
      <c r="A605">
        <v>10608</v>
      </c>
      <c r="B605" s="1">
        <v>45748</v>
      </c>
      <c r="C605" t="s">
        <v>35</v>
      </c>
      <c r="D605" t="s">
        <v>17</v>
      </c>
      <c r="E605" t="s">
        <v>16</v>
      </c>
      <c r="F605" t="s">
        <v>18</v>
      </c>
      <c r="G605">
        <v>5</v>
      </c>
      <c r="H605">
        <v>54000</v>
      </c>
      <c r="I605">
        <v>0.1</v>
      </c>
      <c r="J605">
        <v>10800</v>
      </c>
    </row>
    <row r="606" spans="1:10" x14ac:dyDescent="0.3">
      <c r="A606">
        <v>10609</v>
      </c>
      <c r="B606" s="1">
        <v>45811</v>
      </c>
      <c r="C606" t="s">
        <v>105</v>
      </c>
      <c r="D606" t="s">
        <v>41</v>
      </c>
      <c r="E606" t="s">
        <v>27</v>
      </c>
      <c r="F606" t="s">
        <v>18</v>
      </c>
      <c r="G606">
        <v>2</v>
      </c>
      <c r="H606">
        <v>88000</v>
      </c>
      <c r="I606">
        <v>0.2</v>
      </c>
      <c r="J606">
        <v>-2200</v>
      </c>
    </row>
    <row r="607" spans="1:10" x14ac:dyDescent="0.3">
      <c r="A607">
        <v>10610</v>
      </c>
      <c r="B607" s="1">
        <v>45698</v>
      </c>
      <c r="C607" t="s">
        <v>175</v>
      </c>
      <c r="D607" t="s">
        <v>17</v>
      </c>
      <c r="E607" t="s">
        <v>16</v>
      </c>
      <c r="F607" t="s">
        <v>13</v>
      </c>
      <c r="G607">
        <v>2</v>
      </c>
      <c r="H607">
        <v>19200</v>
      </c>
      <c r="I607">
        <v>0.2</v>
      </c>
      <c r="J607">
        <v>1920</v>
      </c>
    </row>
    <row r="608" spans="1:10" x14ac:dyDescent="0.3">
      <c r="A608">
        <v>10611</v>
      </c>
      <c r="B608" s="1">
        <v>46011</v>
      </c>
      <c r="C608" t="s">
        <v>54</v>
      </c>
      <c r="D608" t="s">
        <v>34</v>
      </c>
      <c r="E608" t="s">
        <v>24</v>
      </c>
      <c r="F608" t="s">
        <v>13</v>
      </c>
      <c r="G608">
        <v>1</v>
      </c>
      <c r="H608">
        <v>2200</v>
      </c>
      <c r="I608">
        <v>0</v>
      </c>
      <c r="J608">
        <v>770</v>
      </c>
    </row>
    <row r="609" spans="1:10" x14ac:dyDescent="0.3">
      <c r="A609">
        <v>10612</v>
      </c>
      <c r="B609" s="1">
        <v>45733</v>
      </c>
      <c r="C609" t="s">
        <v>74</v>
      </c>
      <c r="D609" t="s">
        <v>52</v>
      </c>
      <c r="E609" t="s">
        <v>24</v>
      </c>
      <c r="F609" t="s">
        <v>36</v>
      </c>
      <c r="G609">
        <v>3</v>
      </c>
      <c r="H609">
        <v>4860</v>
      </c>
      <c r="I609">
        <v>0.1</v>
      </c>
      <c r="J609">
        <v>1350</v>
      </c>
    </row>
    <row r="610" spans="1:10" x14ac:dyDescent="0.3">
      <c r="A610">
        <v>10613</v>
      </c>
      <c r="B610" s="1">
        <v>45960</v>
      </c>
      <c r="C610" t="s">
        <v>176</v>
      </c>
      <c r="D610" t="s">
        <v>26</v>
      </c>
      <c r="E610" t="s">
        <v>27</v>
      </c>
      <c r="F610" t="s">
        <v>21</v>
      </c>
      <c r="G610">
        <v>5</v>
      </c>
      <c r="H610">
        <v>21375</v>
      </c>
      <c r="I610">
        <v>0.05</v>
      </c>
      <c r="J610">
        <v>2925</v>
      </c>
    </row>
    <row r="611" spans="1:10" x14ac:dyDescent="0.3">
      <c r="A611">
        <v>10614</v>
      </c>
      <c r="B611" s="1">
        <v>45789</v>
      </c>
      <c r="C611" t="s">
        <v>129</v>
      </c>
      <c r="D611" t="s">
        <v>52</v>
      </c>
      <c r="E611" t="s">
        <v>24</v>
      </c>
      <c r="F611" t="s">
        <v>21</v>
      </c>
      <c r="G611">
        <v>5</v>
      </c>
      <c r="H611">
        <v>8100</v>
      </c>
      <c r="I611">
        <v>0.1</v>
      </c>
      <c r="J611">
        <v>2250</v>
      </c>
    </row>
    <row r="612" spans="1:10" x14ac:dyDescent="0.3">
      <c r="A612">
        <v>10615</v>
      </c>
      <c r="B612" s="1">
        <v>45878</v>
      </c>
      <c r="C612" t="s">
        <v>97</v>
      </c>
      <c r="D612" t="s">
        <v>17</v>
      </c>
      <c r="E612" t="s">
        <v>16</v>
      </c>
      <c r="F612" t="s">
        <v>13</v>
      </c>
      <c r="G612">
        <v>2</v>
      </c>
      <c r="H612">
        <v>22800</v>
      </c>
      <c r="I612">
        <v>0.05</v>
      </c>
      <c r="J612">
        <v>5520</v>
      </c>
    </row>
    <row r="613" spans="1:10" x14ac:dyDescent="0.3">
      <c r="A613">
        <v>10616</v>
      </c>
      <c r="B613" s="1">
        <v>45981</v>
      </c>
      <c r="C613" t="s">
        <v>81</v>
      </c>
      <c r="D613" t="s">
        <v>26</v>
      </c>
      <c r="E613" t="s">
        <v>27</v>
      </c>
      <c r="F613" t="s">
        <v>36</v>
      </c>
      <c r="G613">
        <v>4</v>
      </c>
      <c r="H613">
        <v>16200</v>
      </c>
      <c r="I613">
        <v>0.1</v>
      </c>
      <c r="J613">
        <v>1440</v>
      </c>
    </row>
    <row r="614" spans="1:10" x14ac:dyDescent="0.3">
      <c r="A614">
        <v>10617</v>
      </c>
      <c r="B614" s="1">
        <v>45937</v>
      </c>
      <c r="C614" t="s">
        <v>68</v>
      </c>
      <c r="D614" t="s">
        <v>26</v>
      </c>
      <c r="E614" t="s">
        <v>27</v>
      </c>
      <c r="F614" t="s">
        <v>18</v>
      </c>
      <c r="G614">
        <v>5</v>
      </c>
      <c r="H614">
        <v>20250</v>
      </c>
      <c r="I614">
        <v>0.1</v>
      </c>
      <c r="J614">
        <v>1800</v>
      </c>
    </row>
    <row r="615" spans="1:10" x14ac:dyDescent="0.3">
      <c r="A615">
        <v>10618</v>
      </c>
      <c r="B615" s="1">
        <v>45681</v>
      </c>
      <c r="C615" t="s">
        <v>110</v>
      </c>
      <c r="D615" t="s">
        <v>17</v>
      </c>
      <c r="E615" t="s">
        <v>16</v>
      </c>
      <c r="F615" t="s">
        <v>36</v>
      </c>
      <c r="G615">
        <v>2</v>
      </c>
      <c r="H615">
        <v>20400</v>
      </c>
      <c r="I615">
        <v>0.15</v>
      </c>
      <c r="J615">
        <v>3120</v>
      </c>
    </row>
    <row r="616" spans="1:10" x14ac:dyDescent="0.3">
      <c r="A616">
        <v>10619</v>
      </c>
      <c r="B616" s="1">
        <v>45838</v>
      </c>
      <c r="C616" t="s">
        <v>63</v>
      </c>
      <c r="D616" t="s">
        <v>30</v>
      </c>
      <c r="E616" t="s">
        <v>27</v>
      </c>
      <c r="F616" t="s">
        <v>36</v>
      </c>
      <c r="G616">
        <v>1</v>
      </c>
      <c r="H616">
        <v>27000</v>
      </c>
      <c r="I616">
        <v>0.1</v>
      </c>
      <c r="J616">
        <v>2400</v>
      </c>
    </row>
    <row r="617" spans="1:10" x14ac:dyDescent="0.3">
      <c r="A617">
        <v>10620</v>
      </c>
      <c r="B617" s="1">
        <v>45970</v>
      </c>
      <c r="C617" t="s">
        <v>65</v>
      </c>
      <c r="D617" t="s">
        <v>15</v>
      </c>
      <c r="E617" t="s">
        <v>16</v>
      </c>
      <c r="F617" t="s">
        <v>21</v>
      </c>
      <c r="G617">
        <v>5</v>
      </c>
      <c r="H617">
        <v>63750</v>
      </c>
      <c r="I617">
        <v>0.15</v>
      </c>
      <c r="J617">
        <v>9750</v>
      </c>
    </row>
    <row r="618" spans="1:10" x14ac:dyDescent="0.3">
      <c r="A618">
        <v>10621</v>
      </c>
      <c r="B618" s="1">
        <v>45760</v>
      </c>
      <c r="C618" t="s">
        <v>112</v>
      </c>
      <c r="D618" t="s">
        <v>15</v>
      </c>
      <c r="E618" t="s">
        <v>16</v>
      </c>
      <c r="F618" t="s">
        <v>13</v>
      </c>
      <c r="G618">
        <v>1</v>
      </c>
      <c r="H618">
        <v>11250</v>
      </c>
      <c r="I618">
        <v>0.25</v>
      </c>
      <c r="J618">
        <v>450</v>
      </c>
    </row>
    <row r="619" spans="1:10" x14ac:dyDescent="0.3">
      <c r="A619">
        <v>10622</v>
      </c>
      <c r="B619" s="1">
        <v>45999</v>
      </c>
      <c r="C619" t="s">
        <v>78</v>
      </c>
      <c r="D619" t="s">
        <v>17</v>
      </c>
      <c r="E619" t="s">
        <v>16</v>
      </c>
      <c r="F619" t="s">
        <v>18</v>
      </c>
      <c r="G619">
        <v>3</v>
      </c>
      <c r="H619">
        <v>28800</v>
      </c>
      <c r="I619">
        <v>0.2</v>
      </c>
      <c r="J619">
        <v>2880</v>
      </c>
    </row>
    <row r="620" spans="1:10" x14ac:dyDescent="0.3">
      <c r="A620">
        <v>10623</v>
      </c>
      <c r="B620" s="1">
        <v>45896</v>
      </c>
      <c r="C620" t="s">
        <v>100</v>
      </c>
      <c r="D620" t="s">
        <v>20</v>
      </c>
      <c r="E620" t="s">
        <v>12</v>
      </c>
      <c r="F620" t="s">
        <v>36</v>
      </c>
      <c r="G620">
        <v>3</v>
      </c>
      <c r="H620">
        <v>637.5</v>
      </c>
      <c r="I620">
        <v>0.15</v>
      </c>
      <c r="J620">
        <v>225</v>
      </c>
    </row>
    <row r="621" spans="1:10" x14ac:dyDescent="0.3">
      <c r="A621">
        <v>10624</v>
      </c>
      <c r="B621" s="1">
        <v>46014</v>
      </c>
      <c r="C621" t="s">
        <v>117</v>
      </c>
      <c r="D621" t="s">
        <v>34</v>
      </c>
      <c r="E621" t="s">
        <v>24</v>
      </c>
      <c r="F621" t="s">
        <v>18</v>
      </c>
      <c r="G621">
        <v>2</v>
      </c>
      <c r="H621">
        <v>3520</v>
      </c>
      <c r="I621">
        <v>0.2</v>
      </c>
      <c r="J621">
        <v>660</v>
      </c>
    </row>
    <row r="622" spans="1:10" x14ac:dyDescent="0.3">
      <c r="A622">
        <v>10625</v>
      </c>
      <c r="B622" s="1">
        <v>45704</v>
      </c>
      <c r="C622" t="s">
        <v>130</v>
      </c>
      <c r="D622" t="s">
        <v>26</v>
      </c>
      <c r="E622" t="s">
        <v>27</v>
      </c>
      <c r="F622" t="s">
        <v>18</v>
      </c>
      <c r="G622">
        <v>1</v>
      </c>
      <c r="H622">
        <v>4275</v>
      </c>
      <c r="I622">
        <v>0.05</v>
      </c>
      <c r="J622">
        <v>585</v>
      </c>
    </row>
    <row r="623" spans="1:10" x14ac:dyDescent="0.3">
      <c r="A623">
        <v>10626</v>
      </c>
      <c r="B623" s="1">
        <v>45898</v>
      </c>
      <c r="C623" t="s">
        <v>103</v>
      </c>
      <c r="D623" t="s">
        <v>11</v>
      </c>
      <c r="E623" t="s">
        <v>12</v>
      </c>
      <c r="F623" t="s">
        <v>36</v>
      </c>
      <c r="G623">
        <v>5</v>
      </c>
      <c r="H623">
        <v>810</v>
      </c>
      <c r="I623">
        <v>0.1</v>
      </c>
      <c r="J623">
        <v>315</v>
      </c>
    </row>
    <row r="624" spans="1:10" x14ac:dyDescent="0.3">
      <c r="A624">
        <v>10627</v>
      </c>
      <c r="B624" s="1">
        <v>45819</v>
      </c>
      <c r="C624" t="s">
        <v>94</v>
      </c>
      <c r="D624" t="s">
        <v>11</v>
      </c>
      <c r="E624" t="s">
        <v>12</v>
      </c>
      <c r="F624" t="s">
        <v>13</v>
      </c>
      <c r="G624">
        <v>2</v>
      </c>
      <c r="H624">
        <v>306</v>
      </c>
      <c r="I624">
        <v>0.15</v>
      </c>
      <c r="J624">
        <v>108</v>
      </c>
    </row>
    <row r="625" spans="1:10" x14ac:dyDescent="0.3">
      <c r="A625">
        <v>10628</v>
      </c>
      <c r="B625" s="1">
        <v>45705</v>
      </c>
      <c r="C625" t="s">
        <v>69</v>
      </c>
      <c r="D625" t="s">
        <v>34</v>
      </c>
      <c r="E625" t="s">
        <v>24</v>
      </c>
      <c r="F625" t="s">
        <v>13</v>
      </c>
      <c r="G625">
        <v>1</v>
      </c>
      <c r="H625">
        <v>2090</v>
      </c>
      <c r="I625">
        <v>0.05</v>
      </c>
      <c r="J625">
        <v>660</v>
      </c>
    </row>
    <row r="626" spans="1:10" x14ac:dyDescent="0.3">
      <c r="A626">
        <v>10629</v>
      </c>
      <c r="B626" s="1">
        <v>45978</v>
      </c>
      <c r="C626" t="s">
        <v>51</v>
      </c>
      <c r="D626" t="s">
        <v>15</v>
      </c>
      <c r="E626" t="s">
        <v>16</v>
      </c>
      <c r="F626" t="s">
        <v>18</v>
      </c>
      <c r="G626">
        <v>5</v>
      </c>
      <c r="H626">
        <v>75000</v>
      </c>
      <c r="I626">
        <v>0</v>
      </c>
      <c r="J626">
        <v>21000</v>
      </c>
    </row>
    <row r="627" spans="1:10" x14ac:dyDescent="0.3">
      <c r="A627">
        <v>10630</v>
      </c>
      <c r="B627" s="1">
        <v>45851</v>
      </c>
      <c r="C627" t="s">
        <v>73</v>
      </c>
      <c r="D627" t="s">
        <v>41</v>
      </c>
      <c r="E627" t="s">
        <v>27</v>
      </c>
      <c r="F627" t="s">
        <v>36</v>
      </c>
      <c r="G627">
        <v>1</v>
      </c>
      <c r="H627">
        <v>49500</v>
      </c>
      <c r="I627">
        <v>0.1</v>
      </c>
      <c r="J627">
        <v>4400</v>
      </c>
    </row>
    <row r="628" spans="1:10" x14ac:dyDescent="0.3">
      <c r="A628">
        <v>10631</v>
      </c>
      <c r="B628" s="1">
        <v>45824</v>
      </c>
      <c r="C628" t="s">
        <v>177</v>
      </c>
      <c r="D628" t="s">
        <v>11</v>
      </c>
      <c r="E628" t="s">
        <v>12</v>
      </c>
      <c r="F628" t="s">
        <v>13</v>
      </c>
      <c r="G628">
        <v>3</v>
      </c>
      <c r="H628">
        <v>459</v>
      </c>
      <c r="I628">
        <v>0.15</v>
      </c>
      <c r="J628">
        <v>162</v>
      </c>
    </row>
    <row r="629" spans="1:10" x14ac:dyDescent="0.3">
      <c r="A629">
        <v>10632</v>
      </c>
      <c r="B629" s="1">
        <v>45730</v>
      </c>
      <c r="C629" t="s">
        <v>100</v>
      </c>
      <c r="D629" t="s">
        <v>41</v>
      </c>
      <c r="E629" t="s">
        <v>27</v>
      </c>
      <c r="F629" t="s">
        <v>21</v>
      </c>
      <c r="G629">
        <v>2</v>
      </c>
      <c r="H629">
        <v>93500</v>
      </c>
      <c r="I629">
        <v>0.15</v>
      </c>
      <c r="J629">
        <v>3300</v>
      </c>
    </row>
    <row r="630" spans="1:10" x14ac:dyDescent="0.3">
      <c r="A630">
        <v>10633</v>
      </c>
      <c r="B630" s="1">
        <v>45660</v>
      </c>
      <c r="C630" t="s">
        <v>31</v>
      </c>
      <c r="D630" t="s">
        <v>20</v>
      </c>
      <c r="E630" t="s">
        <v>12</v>
      </c>
      <c r="F630" t="s">
        <v>36</v>
      </c>
      <c r="G630">
        <v>4</v>
      </c>
      <c r="H630">
        <v>750</v>
      </c>
      <c r="I630">
        <v>0.25</v>
      </c>
      <c r="J630">
        <v>200</v>
      </c>
    </row>
    <row r="631" spans="1:10" x14ac:dyDescent="0.3">
      <c r="A631">
        <v>10634</v>
      </c>
      <c r="B631" s="1">
        <v>45766</v>
      </c>
      <c r="C631" t="s">
        <v>171</v>
      </c>
      <c r="D631" t="s">
        <v>41</v>
      </c>
      <c r="E631" t="s">
        <v>27</v>
      </c>
      <c r="F631" t="s">
        <v>13</v>
      </c>
      <c r="G631">
        <v>4</v>
      </c>
      <c r="H631">
        <v>187000</v>
      </c>
      <c r="I631">
        <v>0.15</v>
      </c>
      <c r="J631">
        <v>6600</v>
      </c>
    </row>
    <row r="632" spans="1:10" x14ac:dyDescent="0.3">
      <c r="A632">
        <v>10635</v>
      </c>
      <c r="B632" s="1">
        <v>45689</v>
      </c>
      <c r="C632" t="s">
        <v>91</v>
      </c>
      <c r="D632" t="s">
        <v>26</v>
      </c>
      <c r="E632" t="s">
        <v>27</v>
      </c>
      <c r="F632" t="s">
        <v>18</v>
      </c>
      <c r="G632">
        <v>2</v>
      </c>
      <c r="H632">
        <v>9000</v>
      </c>
      <c r="I632">
        <v>0</v>
      </c>
      <c r="J632">
        <v>1620</v>
      </c>
    </row>
    <row r="633" spans="1:10" x14ac:dyDescent="0.3">
      <c r="A633">
        <v>10636</v>
      </c>
      <c r="B633" s="1">
        <v>45700</v>
      </c>
      <c r="C633" t="s">
        <v>63</v>
      </c>
      <c r="D633" t="s">
        <v>17</v>
      </c>
      <c r="E633" t="s">
        <v>16</v>
      </c>
      <c r="F633" t="s">
        <v>36</v>
      </c>
      <c r="G633">
        <v>2</v>
      </c>
      <c r="H633">
        <v>24000</v>
      </c>
      <c r="I633">
        <v>0</v>
      </c>
      <c r="J633">
        <v>6720</v>
      </c>
    </row>
    <row r="634" spans="1:10" x14ac:dyDescent="0.3">
      <c r="A634">
        <v>10637</v>
      </c>
      <c r="B634" s="1">
        <v>45819</v>
      </c>
      <c r="C634" t="s">
        <v>28</v>
      </c>
      <c r="D634" t="s">
        <v>52</v>
      </c>
      <c r="E634" t="s">
        <v>24</v>
      </c>
      <c r="F634" t="s">
        <v>18</v>
      </c>
      <c r="G634">
        <v>2</v>
      </c>
      <c r="H634">
        <v>3240</v>
      </c>
      <c r="I634">
        <v>0.1</v>
      </c>
      <c r="J634">
        <v>900</v>
      </c>
    </row>
    <row r="635" spans="1:10" x14ac:dyDescent="0.3">
      <c r="A635">
        <v>10638</v>
      </c>
      <c r="B635" s="1">
        <v>45825</v>
      </c>
      <c r="C635" t="s">
        <v>109</v>
      </c>
      <c r="D635" t="s">
        <v>26</v>
      </c>
      <c r="E635" t="s">
        <v>27</v>
      </c>
      <c r="F635" t="s">
        <v>13</v>
      </c>
      <c r="G635">
        <v>1</v>
      </c>
      <c r="H635">
        <v>4050</v>
      </c>
      <c r="I635">
        <v>0.1</v>
      </c>
      <c r="J635">
        <v>360</v>
      </c>
    </row>
    <row r="636" spans="1:10" x14ac:dyDescent="0.3">
      <c r="A636">
        <v>10639</v>
      </c>
      <c r="B636" s="1">
        <v>45670</v>
      </c>
      <c r="C636" t="s">
        <v>121</v>
      </c>
      <c r="D636" t="s">
        <v>41</v>
      </c>
      <c r="E636" t="s">
        <v>27</v>
      </c>
      <c r="F636" t="s">
        <v>21</v>
      </c>
      <c r="G636">
        <v>5</v>
      </c>
      <c r="H636">
        <v>233750</v>
      </c>
      <c r="I636">
        <v>0.15</v>
      </c>
      <c r="J636">
        <v>8250</v>
      </c>
    </row>
    <row r="637" spans="1:10" x14ac:dyDescent="0.3">
      <c r="A637">
        <v>10640</v>
      </c>
      <c r="B637" s="1">
        <v>45700</v>
      </c>
      <c r="C637" t="s">
        <v>38</v>
      </c>
      <c r="D637" t="s">
        <v>26</v>
      </c>
      <c r="E637" t="s">
        <v>27</v>
      </c>
      <c r="F637" t="s">
        <v>18</v>
      </c>
      <c r="G637">
        <v>3</v>
      </c>
      <c r="H637">
        <v>12825</v>
      </c>
      <c r="I637">
        <v>0.05</v>
      </c>
      <c r="J637">
        <v>1755</v>
      </c>
    </row>
    <row r="638" spans="1:10" x14ac:dyDescent="0.3">
      <c r="A638">
        <v>10641</v>
      </c>
      <c r="B638" s="1">
        <v>45679</v>
      </c>
      <c r="C638" t="s">
        <v>67</v>
      </c>
      <c r="D638" t="s">
        <v>17</v>
      </c>
      <c r="E638" t="s">
        <v>16</v>
      </c>
      <c r="F638" t="s">
        <v>13</v>
      </c>
      <c r="G638">
        <v>4</v>
      </c>
      <c r="H638">
        <v>45600</v>
      </c>
      <c r="I638">
        <v>0.05</v>
      </c>
      <c r="J638">
        <v>11040</v>
      </c>
    </row>
    <row r="639" spans="1:10" x14ac:dyDescent="0.3">
      <c r="A639">
        <v>10642</v>
      </c>
      <c r="B639" s="1">
        <v>45740</v>
      </c>
      <c r="C639" t="s">
        <v>10</v>
      </c>
      <c r="D639" t="s">
        <v>15</v>
      </c>
      <c r="E639" t="s">
        <v>16</v>
      </c>
      <c r="F639" t="s">
        <v>18</v>
      </c>
      <c r="G639">
        <v>3</v>
      </c>
      <c r="H639">
        <v>36000</v>
      </c>
      <c r="I639">
        <v>0.2</v>
      </c>
      <c r="J639">
        <v>3600</v>
      </c>
    </row>
    <row r="640" spans="1:10" x14ac:dyDescent="0.3">
      <c r="A640">
        <v>10643</v>
      </c>
      <c r="B640" s="1">
        <v>45710</v>
      </c>
      <c r="C640" t="s">
        <v>89</v>
      </c>
      <c r="D640" t="s">
        <v>41</v>
      </c>
      <c r="E640" t="s">
        <v>27</v>
      </c>
      <c r="F640" t="s">
        <v>13</v>
      </c>
      <c r="G640">
        <v>1</v>
      </c>
      <c r="H640">
        <v>55000</v>
      </c>
      <c r="I640">
        <v>0</v>
      </c>
      <c r="J640">
        <v>9900</v>
      </c>
    </row>
    <row r="641" spans="1:10" x14ac:dyDescent="0.3">
      <c r="A641">
        <v>10644</v>
      </c>
      <c r="B641" s="1">
        <v>45991</v>
      </c>
      <c r="C641" t="s">
        <v>82</v>
      </c>
      <c r="D641" t="s">
        <v>41</v>
      </c>
      <c r="E641" t="s">
        <v>27</v>
      </c>
      <c r="F641" t="s">
        <v>21</v>
      </c>
      <c r="G641">
        <v>1</v>
      </c>
      <c r="H641">
        <v>49500</v>
      </c>
      <c r="I641">
        <v>0.1</v>
      </c>
      <c r="J641">
        <v>4400</v>
      </c>
    </row>
    <row r="642" spans="1:10" x14ac:dyDescent="0.3">
      <c r="A642">
        <v>10645</v>
      </c>
      <c r="B642" s="1">
        <v>45707</v>
      </c>
      <c r="C642" t="s">
        <v>64</v>
      </c>
      <c r="D642" t="s">
        <v>52</v>
      </c>
      <c r="E642" t="s">
        <v>24</v>
      </c>
      <c r="F642" t="s">
        <v>13</v>
      </c>
      <c r="G642">
        <v>3</v>
      </c>
      <c r="H642">
        <v>5130</v>
      </c>
      <c r="I642">
        <v>0.05</v>
      </c>
      <c r="J642">
        <v>1620</v>
      </c>
    </row>
    <row r="643" spans="1:10" x14ac:dyDescent="0.3">
      <c r="A643">
        <v>10646</v>
      </c>
      <c r="B643" s="1">
        <v>45704</v>
      </c>
      <c r="C643" t="s">
        <v>178</v>
      </c>
      <c r="D643" t="s">
        <v>26</v>
      </c>
      <c r="E643" t="s">
        <v>27</v>
      </c>
      <c r="F643" t="s">
        <v>13</v>
      </c>
      <c r="G643">
        <v>5</v>
      </c>
      <c r="H643">
        <v>22500</v>
      </c>
      <c r="I643">
        <v>0</v>
      </c>
      <c r="J643">
        <v>4050</v>
      </c>
    </row>
    <row r="644" spans="1:10" x14ac:dyDescent="0.3">
      <c r="A644">
        <v>10647</v>
      </c>
      <c r="B644" s="1">
        <v>45905</v>
      </c>
      <c r="C644" t="s">
        <v>58</v>
      </c>
      <c r="D644" t="s">
        <v>17</v>
      </c>
      <c r="E644" t="s">
        <v>16</v>
      </c>
      <c r="F644" t="s">
        <v>13</v>
      </c>
      <c r="G644">
        <v>3</v>
      </c>
      <c r="H644">
        <v>30600</v>
      </c>
      <c r="I644">
        <v>0.15</v>
      </c>
      <c r="J644">
        <v>4680</v>
      </c>
    </row>
    <row r="645" spans="1:10" x14ac:dyDescent="0.3">
      <c r="A645">
        <v>10648</v>
      </c>
      <c r="B645" s="1">
        <v>46018</v>
      </c>
      <c r="C645" t="s">
        <v>133</v>
      </c>
      <c r="D645" t="s">
        <v>52</v>
      </c>
      <c r="E645" t="s">
        <v>24</v>
      </c>
      <c r="F645" t="s">
        <v>18</v>
      </c>
      <c r="G645">
        <v>2</v>
      </c>
      <c r="H645">
        <v>2700</v>
      </c>
      <c r="I645">
        <v>0.25</v>
      </c>
      <c r="J645">
        <v>360</v>
      </c>
    </row>
    <row r="646" spans="1:10" x14ac:dyDescent="0.3">
      <c r="A646">
        <v>10649</v>
      </c>
      <c r="B646" s="1">
        <v>45979</v>
      </c>
      <c r="C646" t="s">
        <v>108</v>
      </c>
      <c r="D646" t="s">
        <v>34</v>
      </c>
      <c r="E646" t="s">
        <v>24</v>
      </c>
      <c r="F646" t="s">
        <v>21</v>
      </c>
      <c r="G646">
        <v>5</v>
      </c>
      <c r="H646">
        <v>8250</v>
      </c>
      <c r="I646">
        <v>0.25</v>
      </c>
      <c r="J646">
        <v>1100</v>
      </c>
    </row>
    <row r="647" spans="1:10" x14ac:dyDescent="0.3">
      <c r="A647">
        <v>10650</v>
      </c>
      <c r="B647" s="1">
        <v>45739</v>
      </c>
      <c r="C647" t="s">
        <v>176</v>
      </c>
      <c r="D647" t="s">
        <v>15</v>
      </c>
      <c r="E647" t="s">
        <v>16</v>
      </c>
      <c r="F647" t="s">
        <v>36</v>
      </c>
      <c r="G647">
        <v>4</v>
      </c>
      <c r="H647">
        <v>54000</v>
      </c>
      <c r="I647">
        <v>0.1</v>
      </c>
      <c r="J647">
        <v>10800</v>
      </c>
    </row>
    <row r="648" spans="1:10" x14ac:dyDescent="0.3">
      <c r="A648">
        <v>10651</v>
      </c>
      <c r="B648" s="1">
        <v>45948</v>
      </c>
      <c r="C648" t="s">
        <v>140</v>
      </c>
      <c r="D648" t="s">
        <v>26</v>
      </c>
      <c r="E648" t="s">
        <v>27</v>
      </c>
      <c r="F648" t="s">
        <v>18</v>
      </c>
      <c r="G648">
        <v>2</v>
      </c>
      <c r="H648">
        <v>8100</v>
      </c>
      <c r="I648">
        <v>0.1</v>
      </c>
      <c r="J648">
        <v>720</v>
      </c>
    </row>
    <row r="649" spans="1:10" x14ac:dyDescent="0.3">
      <c r="A649">
        <v>10652</v>
      </c>
      <c r="B649" s="1">
        <v>45811</v>
      </c>
      <c r="C649" t="s">
        <v>59</v>
      </c>
      <c r="D649" t="s">
        <v>52</v>
      </c>
      <c r="E649" t="s">
        <v>24</v>
      </c>
      <c r="F649" t="s">
        <v>36</v>
      </c>
      <c r="G649">
        <v>2</v>
      </c>
      <c r="H649">
        <v>3060</v>
      </c>
      <c r="I649">
        <v>0.15</v>
      </c>
      <c r="J649">
        <v>720</v>
      </c>
    </row>
    <row r="650" spans="1:10" x14ac:dyDescent="0.3">
      <c r="A650">
        <v>10653</v>
      </c>
      <c r="B650" s="1">
        <v>45805</v>
      </c>
      <c r="C650" t="s">
        <v>48</v>
      </c>
      <c r="D650" t="s">
        <v>20</v>
      </c>
      <c r="E650" t="s">
        <v>12</v>
      </c>
      <c r="F650" t="s">
        <v>36</v>
      </c>
      <c r="G650">
        <v>4</v>
      </c>
      <c r="H650">
        <v>950</v>
      </c>
      <c r="I650">
        <v>0.05</v>
      </c>
      <c r="J650">
        <v>400</v>
      </c>
    </row>
    <row r="651" spans="1:10" x14ac:dyDescent="0.3">
      <c r="A651">
        <v>10654</v>
      </c>
      <c r="B651" s="1">
        <v>45966</v>
      </c>
      <c r="C651" t="s">
        <v>84</v>
      </c>
      <c r="D651" t="s">
        <v>17</v>
      </c>
      <c r="E651" t="s">
        <v>16</v>
      </c>
      <c r="F651" t="s">
        <v>21</v>
      </c>
      <c r="G651">
        <v>3</v>
      </c>
      <c r="H651">
        <v>32400</v>
      </c>
      <c r="I651">
        <v>0.1</v>
      </c>
      <c r="J651">
        <v>6480</v>
      </c>
    </row>
    <row r="652" spans="1:10" x14ac:dyDescent="0.3">
      <c r="A652">
        <v>10655</v>
      </c>
      <c r="B652" s="1">
        <v>46009</v>
      </c>
      <c r="C652" t="s">
        <v>42</v>
      </c>
      <c r="D652" t="s">
        <v>26</v>
      </c>
      <c r="E652" t="s">
        <v>27</v>
      </c>
      <c r="F652" t="s">
        <v>21</v>
      </c>
      <c r="G652">
        <v>3</v>
      </c>
      <c r="H652">
        <v>11475</v>
      </c>
      <c r="I652">
        <v>0.15</v>
      </c>
      <c r="J652">
        <v>405</v>
      </c>
    </row>
    <row r="653" spans="1:10" x14ac:dyDescent="0.3">
      <c r="A653">
        <v>10656</v>
      </c>
      <c r="B653" s="1">
        <v>45915</v>
      </c>
      <c r="C653" t="s">
        <v>171</v>
      </c>
      <c r="D653" t="s">
        <v>23</v>
      </c>
      <c r="E653" t="s">
        <v>24</v>
      </c>
      <c r="F653" t="s">
        <v>36</v>
      </c>
      <c r="G653">
        <v>3</v>
      </c>
      <c r="H653">
        <v>3420</v>
      </c>
      <c r="I653">
        <v>0.05</v>
      </c>
      <c r="J653">
        <v>1080</v>
      </c>
    </row>
    <row r="654" spans="1:10" x14ac:dyDescent="0.3">
      <c r="A654">
        <v>10657</v>
      </c>
      <c r="B654" s="1">
        <v>45736</v>
      </c>
      <c r="C654" t="s">
        <v>147</v>
      </c>
      <c r="D654" t="s">
        <v>34</v>
      </c>
      <c r="E654" t="s">
        <v>24</v>
      </c>
      <c r="F654" t="s">
        <v>21</v>
      </c>
      <c r="G654">
        <v>1</v>
      </c>
      <c r="H654">
        <v>2200</v>
      </c>
      <c r="I654">
        <v>0</v>
      </c>
      <c r="J654">
        <v>770</v>
      </c>
    </row>
    <row r="655" spans="1:10" x14ac:dyDescent="0.3">
      <c r="A655">
        <v>10658</v>
      </c>
      <c r="B655" s="1">
        <v>45935</v>
      </c>
      <c r="C655" t="s">
        <v>153</v>
      </c>
      <c r="D655" t="s">
        <v>26</v>
      </c>
      <c r="E655" t="s">
        <v>27</v>
      </c>
      <c r="F655" t="s">
        <v>21</v>
      </c>
      <c r="G655">
        <v>5</v>
      </c>
      <c r="H655">
        <v>21375</v>
      </c>
      <c r="I655">
        <v>0.05</v>
      </c>
      <c r="J655">
        <v>2925</v>
      </c>
    </row>
    <row r="656" spans="1:10" x14ac:dyDescent="0.3">
      <c r="A656">
        <v>10659</v>
      </c>
      <c r="B656" s="1">
        <v>45958</v>
      </c>
      <c r="C656" t="s">
        <v>54</v>
      </c>
      <c r="D656" t="s">
        <v>23</v>
      </c>
      <c r="E656" t="s">
        <v>24</v>
      </c>
      <c r="F656" t="s">
        <v>36</v>
      </c>
      <c r="G656">
        <v>5</v>
      </c>
      <c r="H656">
        <v>5400</v>
      </c>
      <c r="I656">
        <v>0.1</v>
      </c>
      <c r="J656">
        <v>1500</v>
      </c>
    </row>
    <row r="657" spans="1:10" x14ac:dyDescent="0.3">
      <c r="A657">
        <v>10660</v>
      </c>
      <c r="B657" s="1">
        <v>45795</v>
      </c>
      <c r="C657" t="s">
        <v>119</v>
      </c>
      <c r="D657" t="s">
        <v>41</v>
      </c>
      <c r="E657" t="s">
        <v>27</v>
      </c>
      <c r="F657" t="s">
        <v>13</v>
      </c>
      <c r="G657">
        <v>1</v>
      </c>
      <c r="H657">
        <v>49500</v>
      </c>
      <c r="I657">
        <v>0.1</v>
      </c>
      <c r="J657">
        <v>4400</v>
      </c>
    </row>
    <row r="658" spans="1:10" x14ac:dyDescent="0.3">
      <c r="A658">
        <v>10661</v>
      </c>
      <c r="B658" s="1">
        <v>45940</v>
      </c>
      <c r="C658" t="s">
        <v>65</v>
      </c>
      <c r="D658" t="s">
        <v>34</v>
      </c>
      <c r="E658" t="s">
        <v>24</v>
      </c>
      <c r="F658" t="s">
        <v>21</v>
      </c>
      <c r="G658">
        <v>1</v>
      </c>
      <c r="H658">
        <v>1980</v>
      </c>
      <c r="I658">
        <v>0.1</v>
      </c>
      <c r="J658">
        <v>550</v>
      </c>
    </row>
    <row r="659" spans="1:10" x14ac:dyDescent="0.3">
      <c r="A659">
        <v>10662</v>
      </c>
      <c r="B659" s="1">
        <v>45784</v>
      </c>
      <c r="C659" t="s">
        <v>69</v>
      </c>
      <c r="D659" t="s">
        <v>26</v>
      </c>
      <c r="E659" t="s">
        <v>27</v>
      </c>
      <c r="F659" t="s">
        <v>36</v>
      </c>
      <c r="G659">
        <v>4</v>
      </c>
      <c r="H659">
        <v>15300</v>
      </c>
      <c r="I659">
        <v>0.15</v>
      </c>
      <c r="J659">
        <v>540</v>
      </c>
    </row>
    <row r="660" spans="1:10" x14ac:dyDescent="0.3">
      <c r="A660">
        <v>10663</v>
      </c>
      <c r="B660" s="1">
        <v>45905</v>
      </c>
      <c r="C660" t="s">
        <v>79</v>
      </c>
      <c r="D660" t="s">
        <v>17</v>
      </c>
      <c r="E660" t="s">
        <v>16</v>
      </c>
      <c r="F660" t="s">
        <v>13</v>
      </c>
      <c r="G660">
        <v>5</v>
      </c>
      <c r="H660">
        <v>54000</v>
      </c>
      <c r="I660">
        <v>0.1</v>
      </c>
      <c r="J660">
        <v>10800</v>
      </c>
    </row>
    <row r="661" spans="1:10" x14ac:dyDescent="0.3">
      <c r="A661">
        <v>10664</v>
      </c>
      <c r="B661" s="1">
        <v>45869</v>
      </c>
      <c r="C661" t="s">
        <v>59</v>
      </c>
      <c r="D661" t="s">
        <v>23</v>
      </c>
      <c r="E661" t="s">
        <v>24</v>
      </c>
      <c r="F661" t="s">
        <v>13</v>
      </c>
      <c r="G661">
        <v>1</v>
      </c>
      <c r="H661">
        <v>1140</v>
      </c>
      <c r="I661">
        <v>0.05</v>
      </c>
      <c r="J661">
        <v>360</v>
      </c>
    </row>
    <row r="662" spans="1:10" x14ac:dyDescent="0.3">
      <c r="A662">
        <v>10665</v>
      </c>
      <c r="B662" s="1">
        <v>45720</v>
      </c>
      <c r="C662" t="s">
        <v>170</v>
      </c>
      <c r="D662" t="s">
        <v>15</v>
      </c>
      <c r="E662" t="s">
        <v>16</v>
      </c>
      <c r="F662" t="s">
        <v>13</v>
      </c>
      <c r="G662">
        <v>4</v>
      </c>
      <c r="H662">
        <v>60000</v>
      </c>
      <c r="I662">
        <v>0</v>
      </c>
      <c r="J662">
        <v>16800</v>
      </c>
    </row>
    <row r="663" spans="1:10" x14ac:dyDescent="0.3">
      <c r="A663">
        <v>10666</v>
      </c>
      <c r="B663" s="1">
        <v>45975</v>
      </c>
      <c r="C663" t="s">
        <v>19</v>
      </c>
      <c r="D663" t="s">
        <v>30</v>
      </c>
      <c r="E663" t="s">
        <v>27</v>
      </c>
      <c r="F663" t="s">
        <v>13</v>
      </c>
      <c r="G663">
        <v>3</v>
      </c>
      <c r="H663">
        <v>81000</v>
      </c>
      <c r="I663">
        <v>0.1</v>
      </c>
      <c r="J663">
        <v>7200</v>
      </c>
    </row>
    <row r="664" spans="1:10" x14ac:dyDescent="0.3">
      <c r="A664">
        <v>10667</v>
      </c>
      <c r="B664" s="1">
        <v>45784</v>
      </c>
      <c r="C664" t="s">
        <v>93</v>
      </c>
      <c r="D664" t="s">
        <v>30</v>
      </c>
      <c r="E664" t="s">
        <v>27</v>
      </c>
      <c r="F664" t="s">
        <v>18</v>
      </c>
      <c r="G664">
        <v>2</v>
      </c>
      <c r="H664">
        <v>48000</v>
      </c>
      <c r="I664">
        <v>0.2</v>
      </c>
      <c r="J664">
        <v>-1200</v>
      </c>
    </row>
    <row r="665" spans="1:10" x14ac:dyDescent="0.3">
      <c r="A665">
        <v>10668</v>
      </c>
      <c r="B665" s="1">
        <v>45978</v>
      </c>
      <c r="C665" t="s">
        <v>150</v>
      </c>
      <c r="D665" t="s">
        <v>52</v>
      </c>
      <c r="E665" t="s">
        <v>24</v>
      </c>
      <c r="F665" t="s">
        <v>36</v>
      </c>
      <c r="G665">
        <v>3</v>
      </c>
      <c r="H665">
        <v>4860</v>
      </c>
      <c r="I665">
        <v>0.1</v>
      </c>
      <c r="J665">
        <v>1350</v>
      </c>
    </row>
    <row r="666" spans="1:10" x14ac:dyDescent="0.3">
      <c r="A666">
        <v>10669</v>
      </c>
      <c r="B666" s="1">
        <v>45866</v>
      </c>
      <c r="C666" t="s">
        <v>119</v>
      </c>
      <c r="D666" t="s">
        <v>52</v>
      </c>
      <c r="E666" t="s">
        <v>24</v>
      </c>
      <c r="F666" t="s">
        <v>13</v>
      </c>
      <c r="G666">
        <v>3</v>
      </c>
      <c r="H666">
        <v>4590</v>
      </c>
      <c r="I666">
        <v>0.15</v>
      </c>
      <c r="J666">
        <v>1080</v>
      </c>
    </row>
    <row r="667" spans="1:10" x14ac:dyDescent="0.3">
      <c r="A667">
        <v>10670</v>
      </c>
      <c r="B667" s="1">
        <v>45941</v>
      </c>
      <c r="C667" t="s">
        <v>152</v>
      </c>
      <c r="D667" t="s">
        <v>20</v>
      </c>
      <c r="E667" t="s">
        <v>12</v>
      </c>
      <c r="F667" t="s">
        <v>21</v>
      </c>
      <c r="G667">
        <v>3</v>
      </c>
      <c r="H667">
        <v>675</v>
      </c>
      <c r="I667">
        <v>0.1</v>
      </c>
      <c r="J667">
        <v>262.5</v>
      </c>
    </row>
    <row r="668" spans="1:10" x14ac:dyDescent="0.3">
      <c r="A668">
        <v>10671</v>
      </c>
      <c r="B668" s="1">
        <v>45844</v>
      </c>
      <c r="C668" t="s">
        <v>112</v>
      </c>
      <c r="D668" t="s">
        <v>15</v>
      </c>
      <c r="E668" t="s">
        <v>16</v>
      </c>
      <c r="F668" t="s">
        <v>21</v>
      </c>
      <c r="G668">
        <v>1</v>
      </c>
      <c r="H668">
        <v>15000</v>
      </c>
      <c r="I668">
        <v>0</v>
      </c>
      <c r="J668">
        <v>4200</v>
      </c>
    </row>
    <row r="669" spans="1:10" x14ac:dyDescent="0.3">
      <c r="A669">
        <v>10672</v>
      </c>
      <c r="B669" s="1">
        <v>45887</v>
      </c>
      <c r="C669" t="s">
        <v>136</v>
      </c>
      <c r="D669" t="s">
        <v>34</v>
      </c>
      <c r="E669" t="s">
        <v>24</v>
      </c>
      <c r="F669" t="s">
        <v>18</v>
      </c>
      <c r="G669">
        <v>3</v>
      </c>
      <c r="H669">
        <v>5940</v>
      </c>
      <c r="I669">
        <v>0.1</v>
      </c>
      <c r="J669">
        <v>1650</v>
      </c>
    </row>
    <row r="670" spans="1:10" x14ac:dyDescent="0.3">
      <c r="A670">
        <v>10673</v>
      </c>
      <c r="B670" s="1">
        <v>45720</v>
      </c>
      <c r="C670" t="s">
        <v>77</v>
      </c>
      <c r="D670" t="s">
        <v>15</v>
      </c>
      <c r="E670" t="s">
        <v>16</v>
      </c>
      <c r="F670" t="s">
        <v>18</v>
      </c>
      <c r="G670">
        <v>4</v>
      </c>
      <c r="H670">
        <v>54000</v>
      </c>
      <c r="I670">
        <v>0.1</v>
      </c>
      <c r="J670">
        <v>10800</v>
      </c>
    </row>
    <row r="671" spans="1:10" x14ac:dyDescent="0.3">
      <c r="A671">
        <v>10674</v>
      </c>
      <c r="B671" s="1">
        <v>45871</v>
      </c>
      <c r="C671" t="s">
        <v>75</v>
      </c>
      <c r="D671" t="s">
        <v>34</v>
      </c>
      <c r="E671" t="s">
        <v>24</v>
      </c>
      <c r="F671" t="s">
        <v>13</v>
      </c>
      <c r="G671">
        <v>1</v>
      </c>
      <c r="H671">
        <v>2090</v>
      </c>
      <c r="I671">
        <v>0.05</v>
      </c>
      <c r="J671">
        <v>660</v>
      </c>
    </row>
    <row r="672" spans="1:10" x14ac:dyDescent="0.3">
      <c r="A672">
        <v>10675</v>
      </c>
      <c r="B672" s="1">
        <v>45786</v>
      </c>
      <c r="C672" t="s">
        <v>138</v>
      </c>
      <c r="D672" t="s">
        <v>20</v>
      </c>
      <c r="E672" t="s">
        <v>12</v>
      </c>
      <c r="F672" t="s">
        <v>36</v>
      </c>
      <c r="G672">
        <v>4</v>
      </c>
      <c r="H672">
        <v>950</v>
      </c>
      <c r="I672">
        <v>0.05</v>
      </c>
      <c r="J672">
        <v>400</v>
      </c>
    </row>
    <row r="673" spans="1:10" x14ac:dyDescent="0.3">
      <c r="A673">
        <v>10676</v>
      </c>
      <c r="B673" s="1">
        <v>45759</v>
      </c>
      <c r="C673" t="s">
        <v>113</v>
      </c>
      <c r="D673" t="s">
        <v>20</v>
      </c>
      <c r="E673" t="s">
        <v>12</v>
      </c>
      <c r="F673" t="s">
        <v>13</v>
      </c>
      <c r="G673">
        <v>2</v>
      </c>
      <c r="H673">
        <v>450</v>
      </c>
      <c r="I673">
        <v>0.1</v>
      </c>
      <c r="J673">
        <v>175</v>
      </c>
    </row>
    <row r="674" spans="1:10" x14ac:dyDescent="0.3">
      <c r="A674">
        <v>10677</v>
      </c>
      <c r="B674" s="1">
        <v>45678</v>
      </c>
      <c r="C674" t="s">
        <v>105</v>
      </c>
      <c r="D674" t="s">
        <v>15</v>
      </c>
      <c r="E674" t="s">
        <v>16</v>
      </c>
      <c r="F674" t="s">
        <v>36</v>
      </c>
      <c r="G674">
        <v>1</v>
      </c>
      <c r="H674">
        <v>14250</v>
      </c>
      <c r="I674">
        <v>0.05</v>
      </c>
      <c r="J674">
        <v>3450</v>
      </c>
    </row>
    <row r="675" spans="1:10" x14ac:dyDescent="0.3">
      <c r="A675">
        <v>10678</v>
      </c>
      <c r="B675" s="1">
        <v>45726</v>
      </c>
      <c r="C675" t="s">
        <v>49</v>
      </c>
      <c r="D675" t="s">
        <v>17</v>
      </c>
      <c r="E675" t="s">
        <v>16</v>
      </c>
      <c r="F675" t="s">
        <v>18</v>
      </c>
      <c r="G675">
        <v>3</v>
      </c>
      <c r="H675">
        <v>36000</v>
      </c>
      <c r="I675">
        <v>0</v>
      </c>
      <c r="J675">
        <v>10080</v>
      </c>
    </row>
    <row r="676" spans="1:10" x14ac:dyDescent="0.3">
      <c r="A676">
        <v>10679</v>
      </c>
      <c r="B676" s="1">
        <v>45934</v>
      </c>
      <c r="C676" t="s">
        <v>118</v>
      </c>
      <c r="D676" t="s">
        <v>52</v>
      </c>
      <c r="E676" t="s">
        <v>24</v>
      </c>
      <c r="F676" t="s">
        <v>36</v>
      </c>
      <c r="G676">
        <v>2</v>
      </c>
      <c r="H676">
        <v>3240</v>
      </c>
      <c r="I676">
        <v>0.1</v>
      </c>
      <c r="J676">
        <v>900</v>
      </c>
    </row>
    <row r="677" spans="1:10" x14ac:dyDescent="0.3">
      <c r="A677">
        <v>10680</v>
      </c>
      <c r="B677" s="1">
        <v>45894</v>
      </c>
      <c r="C677" t="s">
        <v>138</v>
      </c>
      <c r="D677" t="s">
        <v>34</v>
      </c>
      <c r="E677" t="s">
        <v>24</v>
      </c>
      <c r="F677" t="s">
        <v>21</v>
      </c>
      <c r="G677">
        <v>4</v>
      </c>
      <c r="H677">
        <v>7040</v>
      </c>
      <c r="I677">
        <v>0.2</v>
      </c>
      <c r="J677">
        <v>1320</v>
      </c>
    </row>
    <row r="678" spans="1:10" x14ac:dyDescent="0.3">
      <c r="A678">
        <v>10681</v>
      </c>
      <c r="B678" s="1">
        <v>45834</v>
      </c>
      <c r="C678" t="s">
        <v>32</v>
      </c>
      <c r="D678" t="s">
        <v>11</v>
      </c>
      <c r="E678" t="s">
        <v>12</v>
      </c>
      <c r="F678" t="s">
        <v>21</v>
      </c>
      <c r="G678">
        <v>5</v>
      </c>
      <c r="H678">
        <v>855</v>
      </c>
      <c r="I678">
        <v>0.05</v>
      </c>
      <c r="J678">
        <v>360</v>
      </c>
    </row>
    <row r="679" spans="1:10" x14ac:dyDescent="0.3">
      <c r="A679">
        <v>10682</v>
      </c>
      <c r="B679" s="1">
        <v>45974</v>
      </c>
      <c r="C679" t="s">
        <v>142</v>
      </c>
      <c r="D679" t="s">
        <v>11</v>
      </c>
      <c r="E679" t="s">
        <v>12</v>
      </c>
      <c r="F679" t="s">
        <v>21</v>
      </c>
      <c r="G679">
        <v>1</v>
      </c>
      <c r="H679">
        <v>171</v>
      </c>
      <c r="I679">
        <v>0.05</v>
      </c>
      <c r="J679">
        <v>72</v>
      </c>
    </row>
    <row r="680" spans="1:10" x14ac:dyDescent="0.3">
      <c r="A680">
        <v>10683</v>
      </c>
      <c r="B680" s="1">
        <v>45807</v>
      </c>
      <c r="C680" t="s">
        <v>130</v>
      </c>
      <c r="D680" t="s">
        <v>26</v>
      </c>
      <c r="E680" t="s">
        <v>27</v>
      </c>
      <c r="F680" t="s">
        <v>13</v>
      </c>
      <c r="G680">
        <v>5</v>
      </c>
      <c r="H680">
        <v>20250</v>
      </c>
      <c r="I680">
        <v>0.1</v>
      </c>
      <c r="J680">
        <v>1800</v>
      </c>
    </row>
    <row r="681" spans="1:10" x14ac:dyDescent="0.3">
      <c r="A681">
        <v>10684</v>
      </c>
      <c r="B681" s="1">
        <v>45970</v>
      </c>
      <c r="C681" t="s">
        <v>101</v>
      </c>
      <c r="D681" t="s">
        <v>34</v>
      </c>
      <c r="E681" t="s">
        <v>24</v>
      </c>
      <c r="F681" t="s">
        <v>21</v>
      </c>
      <c r="G681">
        <v>1</v>
      </c>
      <c r="H681">
        <v>2090</v>
      </c>
      <c r="I681">
        <v>0.05</v>
      </c>
      <c r="J681">
        <v>660</v>
      </c>
    </row>
    <row r="682" spans="1:10" x14ac:dyDescent="0.3">
      <c r="A682">
        <v>10685</v>
      </c>
      <c r="B682" s="1">
        <v>45744</v>
      </c>
      <c r="C682" t="s">
        <v>100</v>
      </c>
      <c r="D682" t="s">
        <v>23</v>
      </c>
      <c r="E682" t="s">
        <v>24</v>
      </c>
      <c r="F682" t="s">
        <v>18</v>
      </c>
      <c r="G682">
        <v>5</v>
      </c>
      <c r="H682">
        <v>5400</v>
      </c>
      <c r="I682">
        <v>0.1</v>
      </c>
      <c r="J682">
        <v>1500</v>
      </c>
    </row>
    <row r="683" spans="1:10" x14ac:dyDescent="0.3">
      <c r="A683">
        <v>10686</v>
      </c>
      <c r="B683" s="1">
        <v>45761</v>
      </c>
      <c r="C683" t="s">
        <v>112</v>
      </c>
      <c r="D683" t="s">
        <v>17</v>
      </c>
      <c r="E683" t="s">
        <v>16</v>
      </c>
      <c r="F683" t="s">
        <v>21</v>
      </c>
      <c r="G683">
        <v>5</v>
      </c>
      <c r="H683">
        <v>60000</v>
      </c>
      <c r="I683">
        <v>0</v>
      </c>
      <c r="J683">
        <v>16800</v>
      </c>
    </row>
    <row r="684" spans="1:10" x14ac:dyDescent="0.3">
      <c r="A684">
        <v>10687</v>
      </c>
      <c r="B684" s="1">
        <v>45807</v>
      </c>
      <c r="C684" t="s">
        <v>178</v>
      </c>
      <c r="D684" t="s">
        <v>15</v>
      </c>
      <c r="E684" t="s">
        <v>16</v>
      </c>
      <c r="F684" t="s">
        <v>21</v>
      </c>
      <c r="G684">
        <v>4</v>
      </c>
      <c r="H684">
        <v>54000</v>
      </c>
      <c r="I684">
        <v>0.1</v>
      </c>
      <c r="J684">
        <v>10800</v>
      </c>
    </row>
    <row r="685" spans="1:10" x14ac:dyDescent="0.3">
      <c r="A685">
        <v>10688</v>
      </c>
      <c r="B685" s="1">
        <v>45779</v>
      </c>
      <c r="C685" t="s">
        <v>90</v>
      </c>
      <c r="D685" t="s">
        <v>41</v>
      </c>
      <c r="E685" t="s">
        <v>27</v>
      </c>
      <c r="F685" t="s">
        <v>36</v>
      </c>
      <c r="G685">
        <v>3</v>
      </c>
      <c r="H685">
        <v>140250</v>
      </c>
      <c r="I685">
        <v>0.15</v>
      </c>
      <c r="J685">
        <v>4950</v>
      </c>
    </row>
    <row r="686" spans="1:10" x14ac:dyDescent="0.3">
      <c r="A686">
        <v>10689</v>
      </c>
      <c r="B686" s="1">
        <v>45891</v>
      </c>
      <c r="C686" t="s">
        <v>104</v>
      </c>
      <c r="D686" t="s">
        <v>26</v>
      </c>
      <c r="E686" t="s">
        <v>27</v>
      </c>
      <c r="F686" t="s">
        <v>36</v>
      </c>
      <c r="G686">
        <v>4</v>
      </c>
      <c r="H686">
        <v>18000</v>
      </c>
      <c r="I686">
        <v>0</v>
      </c>
      <c r="J686">
        <v>3240</v>
      </c>
    </row>
    <row r="687" spans="1:10" x14ac:dyDescent="0.3">
      <c r="A687">
        <v>10690</v>
      </c>
      <c r="B687" s="1">
        <v>45809</v>
      </c>
      <c r="C687" t="s">
        <v>10</v>
      </c>
      <c r="D687" t="s">
        <v>11</v>
      </c>
      <c r="E687" t="s">
        <v>12</v>
      </c>
      <c r="F687" t="s">
        <v>36</v>
      </c>
      <c r="G687">
        <v>3</v>
      </c>
      <c r="H687">
        <v>513</v>
      </c>
      <c r="I687">
        <v>0.05</v>
      </c>
      <c r="J687">
        <v>216</v>
      </c>
    </row>
    <row r="688" spans="1:10" x14ac:dyDescent="0.3">
      <c r="A688">
        <v>10691</v>
      </c>
      <c r="B688" s="1">
        <v>45676</v>
      </c>
      <c r="C688" t="s">
        <v>179</v>
      </c>
      <c r="D688" t="s">
        <v>23</v>
      </c>
      <c r="E688" t="s">
        <v>24</v>
      </c>
      <c r="F688" t="s">
        <v>18</v>
      </c>
      <c r="G688">
        <v>1</v>
      </c>
      <c r="H688">
        <v>1080</v>
      </c>
      <c r="I688">
        <v>0.1</v>
      </c>
      <c r="J688">
        <v>300</v>
      </c>
    </row>
    <row r="689" spans="1:10" x14ac:dyDescent="0.3">
      <c r="A689">
        <v>10692</v>
      </c>
      <c r="B689" s="1">
        <v>46011</v>
      </c>
      <c r="C689" t="s">
        <v>100</v>
      </c>
      <c r="D689" t="s">
        <v>34</v>
      </c>
      <c r="E689" t="s">
        <v>24</v>
      </c>
      <c r="F689" t="s">
        <v>21</v>
      </c>
      <c r="G689">
        <v>1</v>
      </c>
      <c r="H689">
        <v>2090</v>
      </c>
      <c r="I689">
        <v>0.05</v>
      </c>
      <c r="J689">
        <v>660</v>
      </c>
    </row>
    <row r="690" spans="1:10" x14ac:dyDescent="0.3">
      <c r="A690">
        <v>10693</v>
      </c>
      <c r="B690" s="1">
        <v>45896</v>
      </c>
      <c r="C690" t="s">
        <v>42</v>
      </c>
      <c r="D690" t="s">
        <v>41</v>
      </c>
      <c r="E690" t="s">
        <v>27</v>
      </c>
      <c r="F690" t="s">
        <v>13</v>
      </c>
      <c r="G690">
        <v>2</v>
      </c>
      <c r="H690">
        <v>110000</v>
      </c>
      <c r="I690">
        <v>0</v>
      </c>
      <c r="J690">
        <v>19800</v>
      </c>
    </row>
    <row r="691" spans="1:10" x14ac:dyDescent="0.3">
      <c r="A691">
        <v>10694</v>
      </c>
      <c r="B691" s="1">
        <v>45785</v>
      </c>
      <c r="C691" t="s">
        <v>14</v>
      </c>
      <c r="D691" t="s">
        <v>15</v>
      </c>
      <c r="E691" t="s">
        <v>16</v>
      </c>
      <c r="F691" t="s">
        <v>21</v>
      </c>
      <c r="G691">
        <v>5</v>
      </c>
      <c r="H691">
        <v>71250</v>
      </c>
      <c r="I691">
        <v>0.05</v>
      </c>
      <c r="J691">
        <v>17250</v>
      </c>
    </row>
    <row r="692" spans="1:10" x14ac:dyDescent="0.3">
      <c r="A692">
        <v>10695</v>
      </c>
      <c r="B692" s="1">
        <v>45962</v>
      </c>
      <c r="C692" t="s">
        <v>96</v>
      </c>
      <c r="D692" t="s">
        <v>41</v>
      </c>
      <c r="E692" t="s">
        <v>27</v>
      </c>
      <c r="F692" t="s">
        <v>21</v>
      </c>
      <c r="G692">
        <v>5</v>
      </c>
      <c r="H692">
        <v>261250</v>
      </c>
      <c r="I692">
        <v>0.05</v>
      </c>
      <c r="J692">
        <v>35750</v>
      </c>
    </row>
    <row r="693" spans="1:10" x14ac:dyDescent="0.3">
      <c r="A693">
        <v>10696</v>
      </c>
      <c r="B693" s="1">
        <v>45719</v>
      </c>
      <c r="C693" t="s">
        <v>148</v>
      </c>
      <c r="D693" t="s">
        <v>41</v>
      </c>
      <c r="E693" t="s">
        <v>27</v>
      </c>
      <c r="F693" t="s">
        <v>36</v>
      </c>
      <c r="G693">
        <v>5</v>
      </c>
      <c r="H693">
        <v>233750</v>
      </c>
      <c r="I693">
        <v>0.15</v>
      </c>
      <c r="J693">
        <v>8250</v>
      </c>
    </row>
    <row r="694" spans="1:10" x14ac:dyDescent="0.3">
      <c r="A694">
        <v>10697</v>
      </c>
      <c r="B694" s="1">
        <v>45864</v>
      </c>
      <c r="C694" t="s">
        <v>132</v>
      </c>
      <c r="D694" t="s">
        <v>23</v>
      </c>
      <c r="E694" t="s">
        <v>24</v>
      </c>
      <c r="F694" t="s">
        <v>13</v>
      </c>
      <c r="G694">
        <v>3</v>
      </c>
      <c r="H694">
        <v>3240</v>
      </c>
      <c r="I694">
        <v>0.1</v>
      </c>
      <c r="J694">
        <v>900</v>
      </c>
    </row>
    <row r="695" spans="1:10" x14ac:dyDescent="0.3">
      <c r="A695">
        <v>10698</v>
      </c>
      <c r="B695" s="1">
        <v>45967</v>
      </c>
      <c r="C695" t="s">
        <v>119</v>
      </c>
      <c r="D695" t="s">
        <v>34</v>
      </c>
      <c r="E695" t="s">
        <v>24</v>
      </c>
      <c r="F695" t="s">
        <v>18</v>
      </c>
      <c r="G695">
        <v>4</v>
      </c>
      <c r="H695">
        <v>7040</v>
      </c>
      <c r="I695">
        <v>0.2</v>
      </c>
      <c r="J695">
        <v>1320</v>
      </c>
    </row>
    <row r="696" spans="1:10" x14ac:dyDescent="0.3">
      <c r="A696">
        <v>10699</v>
      </c>
      <c r="B696" s="1">
        <v>45743</v>
      </c>
      <c r="C696" t="s">
        <v>86</v>
      </c>
      <c r="D696" t="s">
        <v>52</v>
      </c>
      <c r="E696" t="s">
        <v>24</v>
      </c>
      <c r="F696" t="s">
        <v>13</v>
      </c>
      <c r="G696">
        <v>1</v>
      </c>
      <c r="H696">
        <v>1620</v>
      </c>
      <c r="I696">
        <v>0.1</v>
      </c>
      <c r="J696">
        <v>450</v>
      </c>
    </row>
    <row r="697" spans="1:10" x14ac:dyDescent="0.3">
      <c r="A697">
        <v>10700</v>
      </c>
      <c r="B697" s="1">
        <v>45890</v>
      </c>
      <c r="C697" t="s">
        <v>109</v>
      </c>
      <c r="D697" t="s">
        <v>26</v>
      </c>
      <c r="E697" t="s">
        <v>27</v>
      </c>
      <c r="F697" t="s">
        <v>36</v>
      </c>
      <c r="G697">
        <v>4</v>
      </c>
      <c r="H697">
        <v>17100</v>
      </c>
      <c r="I697">
        <v>0.05</v>
      </c>
      <c r="J697">
        <v>2340</v>
      </c>
    </row>
    <row r="698" spans="1:10" x14ac:dyDescent="0.3">
      <c r="A698">
        <v>10701</v>
      </c>
      <c r="B698" s="1">
        <v>45796</v>
      </c>
      <c r="C698" t="s">
        <v>173</v>
      </c>
      <c r="D698" t="s">
        <v>30</v>
      </c>
      <c r="E698" t="s">
        <v>27</v>
      </c>
      <c r="F698" t="s">
        <v>13</v>
      </c>
      <c r="G698">
        <v>1</v>
      </c>
      <c r="H698">
        <v>24000</v>
      </c>
      <c r="I698">
        <v>0.2</v>
      </c>
      <c r="J698">
        <v>-600</v>
      </c>
    </row>
    <row r="699" spans="1:10" x14ac:dyDescent="0.3">
      <c r="A699">
        <v>10702</v>
      </c>
      <c r="B699" s="1">
        <v>45705</v>
      </c>
      <c r="C699" t="s">
        <v>97</v>
      </c>
      <c r="D699" t="s">
        <v>52</v>
      </c>
      <c r="E699" t="s">
        <v>24</v>
      </c>
      <c r="F699" t="s">
        <v>21</v>
      </c>
      <c r="G699">
        <v>2</v>
      </c>
      <c r="H699">
        <v>2880</v>
      </c>
      <c r="I699">
        <v>0.2</v>
      </c>
      <c r="J699">
        <v>540</v>
      </c>
    </row>
    <row r="700" spans="1:10" x14ac:dyDescent="0.3">
      <c r="A700">
        <v>10703</v>
      </c>
      <c r="B700" s="1">
        <v>46017</v>
      </c>
      <c r="C700" t="s">
        <v>46</v>
      </c>
      <c r="D700" t="s">
        <v>20</v>
      </c>
      <c r="E700" t="s">
        <v>12</v>
      </c>
      <c r="F700" t="s">
        <v>36</v>
      </c>
      <c r="G700">
        <v>4</v>
      </c>
      <c r="H700">
        <v>950</v>
      </c>
      <c r="I700">
        <v>0.05</v>
      </c>
      <c r="J700">
        <v>400</v>
      </c>
    </row>
    <row r="701" spans="1:10" x14ac:dyDescent="0.3">
      <c r="A701">
        <v>10704</v>
      </c>
      <c r="B701" s="1">
        <v>45739</v>
      </c>
      <c r="C701" t="s">
        <v>47</v>
      </c>
      <c r="D701" t="s">
        <v>17</v>
      </c>
      <c r="E701" t="s">
        <v>16</v>
      </c>
      <c r="F701" t="s">
        <v>13</v>
      </c>
      <c r="G701">
        <v>1</v>
      </c>
      <c r="H701">
        <v>9000</v>
      </c>
      <c r="I701">
        <v>0.25</v>
      </c>
      <c r="J701">
        <v>360</v>
      </c>
    </row>
    <row r="702" spans="1:10" x14ac:dyDescent="0.3">
      <c r="A702">
        <v>10705</v>
      </c>
      <c r="B702" s="1">
        <v>45780</v>
      </c>
      <c r="C702" t="s">
        <v>166</v>
      </c>
      <c r="D702" t="s">
        <v>20</v>
      </c>
      <c r="E702" t="s">
        <v>12</v>
      </c>
      <c r="F702" t="s">
        <v>36</v>
      </c>
      <c r="G702">
        <v>4</v>
      </c>
      <c r="H702">
        <v>750</v>
      </c>
      <c r="I702">
        <v>0.25</v>
      </c>
      <c r="J702">
        <v>200</v>
      </c>
    </row>
    <row r="703" spans="1:10" x14ac:dyDescent="0.3">
      <c r="A703">
        <v>10706</v>
      </c>
      <c r="B703" s="1">
        <v>45789</v>
      </c>
      <c r="C703" t="s">
        <v>61</v>
      </c>
      <c r="D703" t="s">
        <v>26</v>
      </c>
      <c r="E703" t="s">
        <v>27</v>
      </c>
      <c r="F703" t="s">
        <v>18</v>
      </c>
      <c r="G703">
        <v>3</v>
      </c>
      <c r="H703">
        <v>11475</v>
      </c>
      <c r="I703">
        <v>0.15</v>
      </c>
      <c r="J703">
        <v>405</v>
      </c>
    </row>
    <row r="704" spans="1:10" x14ac:dyDescent="0.3">
      <c r="A704">
        <v>10707</v>
      </c>
      <c r="B704" s="1">
        <v>45892</v>
      </c>
      <c r="C704" t="s">
        <v>29</v>
      </c>
      <c r="D704" t="s">
        <v>34</v>
      </c>
      <c r="E704" t="s">
        <v>24</v>
      </c>
      <c r="F704" t="s">
        <v>21</v>
      </c>
      <c r="G704">
        <v>3</v>
      </c>
      <c r="H704">
        <v>5280</v>
      </c>
      <c r="I704">
        <v>0.2</v>
      </c>
      <c r="J704">
        <v>990</v>
      </c>
    </row>
    <row r="705" spans="1:10" x14ac:dyDescent="0.3">
      <c r="A705">
        <v>10708</v>
      </c>
      <c r="B705" s="1">
        <v>45781</v>
      </c>
      <c r="C705" t="s">
        <v>118</v>
      </c>
      <c r="D705" t="s">
        <v>41</v>
      </c>
      <c r="E705" t="s">
        <v>27</v>
      </c>
      <c r="F705" t="s">
        <v>18</v>
      </c>
      <c r="G705">
        <v>1</v>
      </c>
      <c r="H705">
        <v>55000</v>
      </c>
      <c r="I705">
        <v>0</v>
      </c>
      <c r="J705">
        <v>9900</v>
      </c>
    </row>
    <row r="706" spans="1:10" x14ac:dyDescent="0.3">
      <c r="A706">
        <v>10709</v>
      </c>
      <c r="B706" s="1">
        <v>45907</v>
      </c>
      <c r="C706" t="s">
        <v>19</v>
      </c>
      <c r="D706" t="s">
        <v>23</v>
      </c>
      <c r="E706" t="s">
        <v>24</v>
      </c>
      <c r="F706" t="s">
        <v>13</v>
      </c>
      <c r="G706">
        <v>4</v>
      </c>
      <c r="H706">
        <v>4080</v>
      </c>
      <c r="I706">
        <v>0.15</v>
      </c>
      <c r="J706">
        <v>960</v>
      </c>
    </row>
    <row r="707" spans="1:10" x14ac:dyDescent="0.3">
      <c r="A707">
        <v>10710</v>
      </c>
      <c r="B707" s="1">
        <v>46012</v>
      </c>
      <c r="C707" t="s">
        <v>33</v>
      </c>
      <c r="D707" t="s">
        <v>11</v>
      </c>
      <c r="E707" t="s">
        <v>12</v>
      </c>
      <c r="F707" t="s">
        <v>13</v>
      </c>
      <c r="G707">
        <v>2</v>
      </c>
      <c r="H707">
        <v>306</v>
      </c>
      <c r="I707">
        <v>0.15</v>
      </c>
      <c r="J707">
        <v>108</v>
      </c>
    </row>
    <row r="708" spans="1:10" x14ac:dyDescent="0.3">
      <c r="A708">
        <v>10711</v>
      </c>
      <c r="B708" s="1">
        <v>45877</v>
      </c>
      <c r="C708" t="s">
        <v>126</v>
      </c>
      <c r="D708" t="s">
        <v>11</v>
      </c>
      <c r="E708" t="s">
        <v>12</v>
      </c>
      <c r="F708" t="s">
        <v>13</v>
      </c>
      <c r="G708">
        <v>4</v>
      </c>
      <c r="H708">
        <v>684</v>
      </c>
      <c r="I708">
        <v>0.05</v>
      </c>
      <c r="J708">
        <v>288</v>
      </c>
    </row>
    <row r="709" spans="1:10" x14ac:dyDescent="0.3">
      <c r="A709">
        <v>10712</v>
      </c>
      <c r="B709" s="1">
        <v>45934</v>
      </c>
      <c r="C709" t="s">
        <v>121</v>
      </c>
      <c r="D709" t="s">
        <v>34</v>
      </c>
      <c r="E709" t="s">
        <v>24</v>
      </c>
      <c r="F709" t="s">
        <v>21</v>
      </c>
      <c r="G709">
        <v>1</v>
      </c>
      <c r="H709">
        <v>2090</v>
      </c>
      <c r="I709">
        <v>0.05</v>
      </c>
      <c r="J709">
        <v>660</v>
      </c>
    </row>
    <row r="710" spans="1:10" x14ac:dyDescent="0.3">
      <c r="A710">
        <v>10713</v>
      </c>
      <c r="B710" s="1">
        <v>45719</v>
      </c>
      <c r="C710" t="s">
        <v>131</v>
      </c>
      <c r="D710" t="s">
        <v>17</v>
      </c>
      <c r="E710" t="s">
        <v>16</v>
      </c>
      <c r="F710" t="s">
        <v>21</v>
      </c>
      <c r="G710">
        <v>2</v>
      </c>
      <c r="H710">
        <v>21600</v>
      </c>
      <c r="I710">
        <v>0.1</v>
      </c>
      <c r="J710">
        <v>4320</v>
      </c>
    </row>
    <row r="711" spans="1:10" x14ac:dyDescent="0.3">
      <c r="A711">
        <v>10714</v>
      </c>
      <c r="B711" s="1">
        <v>45894</v>
      </c>
      <c r="C711" t="s">
        <v>29</v>
      </c>
      <c r="D711" t="s">
        <v>20</v>
      </c>
      <c r="E711" t="s">
        <v>12</v>
      </c>
      <c r="F711" t="s">
        <v>21</v>
      </c>
      <c r="G711">
        <v>3</v>
      </c>
      <c r="H711">
        <v>712.5</v>
      </c>
      <c r="I711">
        <v>0.05</v>
      </c>
      <c r="J711">
        <v>300</v>
      </c>
    </row>
    <row r="712" spans="1:10" x14ac:dyDescent="0.3">
      <c r="A712">
        <v>10715</v>
      </c>
      <c r="B712" s="1">
        <v>45993</v>
      </c>
      <c r="C712" t="s">
        <v>31</v>
      </c>
      <c r="D712" t="s">
        <v>34</v>
      </c>
      <c r="E712" t="s">
        <v>24</v>
      </c>
      <c r="F712" t="s">
        <v>21</v>
      </c>
      <c r="G712">
        <v>4</v>
      </c>
      <c r="H712">
        <v>7480</v>
      </c>
      <c r="I712">
        <v>0.15</v>
      </c>
      <c r="J712">
        <v>1760</v>
      </c>
    </row>
    <row r="713" spans="1:10" x14ac:dyDescent="0.3">
      <c r="A713">
        <v>10716</v>
      </c>
      <c r="B713" s="1">
        <v>46003</v>
      </c>
      <c r="C713" t="s">
        <v>129</v>
      </c>
      <c r="D713" t="s">
        <v>30</v>
      </c>
      <c r="E713" t="s">
        <v>27</v>
      </c>
      <c r="F713" t="s">
        <v>21</v>
      </c>
      <c r="G713">
        <v>2</v>
      </c>
      <c r="H713">
        <v>57000</v>
      </c>
      <c r="I713">
        <v>0.05</v>
      </c>
      <c r="J713">
        <v>7800</v>
      </c>
    </row>
    <row r="714" spans="1:10" x14ac:dyDescent="0.3">
      <c r="A714">
        <v>10717</v>
      </c>
      <c r="B714" s="1">
        <v>45823</v>
      </c>
      <c r="C714" t="s">
        <v>118</v>
      </c>
      <c r="D714" t="s">
        <v>41</v>
      </c>
      <c r="E714" t="s">
        <v>27</v>
      </c>
      <c r="F714" t="s">
        <v>13</v>
      </c>
      <c r="G714">
        <v>1</v>
      </c>
      <c r="H714">
        <v>52250</v>
      </c>
      <c r="I714">
        <v>0.05</v>
      </c>
      <c r="J714">
        <v>7150</v>
      </c>
    </row>
    <row r="715" spans="1:10" x14ac:dyDescent="0.3">
      <c r="A715">
        <v>10718</v>
      </c>
      <c r="B715" s="1">
        <v>46013</v>
      </c>
      <c r="C715" t="s">
        <v>75</v>
      </c>
      <c r="D715" t="s">
        <v>15</v>
      </c>
      <c r="E715" t="s">
        <v>16</v>
      </c>
      <c r="F715" t="s">
        <v>21</v>
      </c>
      <c r="G715">
        <v>2</v>
      </c>
      <c r="H715">
        <v>28500</v>
      </c>
      <c r="I715">
        <v>0.05</v>
      </c>
      <c r="J715">
        <v>6900</v>
      </c>
    </row>
    <row r="716" spans="1:10" x14ac:dyDescent="0.3">
      <c r="A716">
        <v>10719</v>
      </c>
      <c r="B716" s="1">
        <v>45936</v>
      </c>
      <c r="C716" t="s">
        <v>141</v>
      </c>
      <c r="D716" t="s">
        <v>34</v>
      </c>
      <c r="E716" t="s">
        <v>24</v>
      </c>
      <c r="F716" t="s">
        <v>21</v>
      </c>
      <c r="G716">
        <v>5</v>
      </c>
      <c r="H716">
        <v>9350</v>
      </c>
      <c r="I716">
        <v>0.15</v>
      </c>
      <c r="J716">
        <v>2200</v>
      </c>
    </row>
    <row r="717" spans="1:10" x14ac:dyDescent="0.3">
      <c r="A717">
        <v>10720</v>
      </c>
      <c r="B717" s="1">
        <v>45997</v>
      </c>
      <c r="C717" t="s">
        <v>104</v>
      </c>
      <c r="D717" t="s">
        <v>52</v>
      </c>
      <c r="E717" t="s">
        <v>24</v>
      </c>
      <c r="F717" t="s">
        <v>18</v>
      </c>
      <c r="G717">
        <v>4</v>
      </c>
      <c r="H717">
        <v>6120</v>
      </c>
      <c r="I717">
        <v>0.15</v>
      </c>
      <c r="J717">
        <v>1440</v>
      </c>
    </row>
    <row r="718" spans="1:10" x14ac:dyDescent="0.3">
      <c r="A718">
        <v>10721</v>
      </c>
      <c r="B718" s="1">
        <v>45727</v>
      </c>
      <c r="C718" t="s">
        <v>164</v>
      </c>
      <c r="D718" t="s">
        <v>41</v>
      </c>
      <c r="E718" t="s">
        <v>27</v>
      </c>
      <c r="F718" t="s">
        <v>13</v>
      </c>
      <c r="G718">
        <v>5</v>
      </c>
      <c r="H718">
        <v>261250</v>
      </c>
      <c r="I718">
        <v>0.05</v>
      </c>
      <c r="J718">
        <v>35750</v>
      </c>
    </row>
    <row r="719" spans="1:10" x14ac:dyDescent="0.3">
      <c r="A719">
        <v>10722</v>
      </c>
      <c r="B719" s="1">
        <v>45959</v>
      </c>
      <c r="C719" t="s">
        <v>126</v>
      </c>
      <c r="D719" t="s">
        <v>26</v>
      </c>
      <c r="E719" t="s">
        <v>27</v>
      </c>
      <c r="F719" t="s">
        <v>13</v>
      </c>
      <c r="G719">
        <v>5</v>
      </c>
      <c r="H719">
        <v>20250</v>
      </c>
      <c r="I719">
        <v>0.1</v>
      </c>
      <c r="J719">
        <v>1800</v>
      </c>
    </row>
    <row r="720" spans="1:10" x14ac:dyDescent="0.3">
      <c r="A720">
        <v>10723</v>
      </c>
      <c r="B720" s="1">
        <v>45912</v>
      </c>
      <c r="C720" t="s">
        <v>73</v>
      </c>
      <c r="D720" t="s">
        <v>52</v>
      </c>
      <c r="E720" t="s">
        <v>24</v>
      </c>
      <c r="F720" t="s">
        <v>13</v>
      </c>
      <c r="G720">
        <v>3</v>
      </c>
      <c r="H720">
        <v>4860</v>
      </c>
      <c r="I720">
        <v>0.1</v>
      </c>
      <c r="J720">
        <v>1350</v>
      </c>
    </row>
    <row r="721" spans="1:10" x14ac:dyDescent="0.3">
      <c r="A721">
        <v>10724</v>
      </c>
      <c r="B721" s="1">
        <v>45988</v>
      </c>
      <c r="C721" t="s">
        <v>164</v>
      </c>
      <c r="D721" t="s">
        <v>20</v>
      </c>
      <c r="E721" t="s">
        <v>12</v>
      </c>
      <c r="F721" t="s">
        <v>18</v>
      </c>
      <c r="G721">
        <v>2</v>
      </c>
      <c r="H721">
        <v>400</v>
      </c>
      <c r="I721">
        <v>0.2</v>
      </c>
      <c r="J721">
        <v>125</v>
      </c>
    </row>
    <row r="722" spans="1:10" x14ac:dyDescent="0.3">
      <c r="A722">
        <v>10725</v>
      </c>
      <c r="B722" s="1">
        <v>45956</v>
      </c>
      <c r="C722" t="s">
        <v>123</v>
      </c>
      <c r="D722" t="s">
        <v>20</v>
      </c>
      <c r="E722" t="s">
        <v>12</v>
      </c>
      <c r="F722" t="s">
        <v>36</v>
      </c>
      <c r="G722">
        <v>3</v>
      </c>
      <c r="H722">
        <v>562.5</v>
      </c>
      <c r="I722">
        <v>0.25</v>
      </c>
      <c r="J722">
        <v>150</v>
      </c>
    </row>
    <row r="723" spans="1:10" x14ac:dyDescent="0.3">
      <c r="A723">
        <v>10726</v>
      </c>
      <c r="B723" s="1">
        <v>45820</v>
      </c>
      <c r="C723" t="s">
        <v>116</v>
      </c>
      <c r="D723" t="s">
        <v>34</v>
      </c>
      <c r="E723" t="s">
        <v>24</v>
      </c>
      <c r="F723" t="s">
        <v>36</v>
      </c>
      <c r="G723">
        <v>3</v>
      </c>
      <c r="H723">
        <v>4950</v>
      </c>
      <c r="I723">
        <v>0.25</v>
      </c>
      <c r="J723">
        <v>660</v>
      </c>
    </row>
    <row r="724" spans="1:10" x14ac:dyDescent="0.3">
      <c r="A724">
        <v>10727</v>
      </c>
      <c r="B724" s="1">
        <v>45844</v>
      </c>
      <c r="C724" t="s">
        <v>163</v>
      </c>
      <c r="D724" t="s">
        <v>41</v>
      </c>
      <c r="E724" t="s">
        <v>27</v>
      </c>
      <c r="F724" t="s">
        <v>36</v>
      </c>
      <c r="G724">
        <v>3</v>
      </c>
      <c r="H724">
        <v>165000</v>
      </c>
      <c r="I724">
        <v>0</v>
      </c>
      <c r="J724">
        <v>29700</v>
      </c>
    </row>
    <row r="725" spans="1:10" x14ac:dyDescent="0.3">
      <c r="A725">
        <v>10728</v>
      </c>
      <c r="B725" s="1">
        <v>45961</v>
      </c>
      <c r="C725" t="s">
        <v>43</v>
      </c>
      <c r="D725" t="s">
        <v>20</v>
      </c>
      <c r="E725" t="s">
        <v>12</v>
      </c>
      <c r="F725" t="s">
        <v>21</v>
      </c>
      <c r="G725">
        <v>3</v>
      </c>
      <c r="H725">
        <v>750</v>
      </c>
      <c r="I725">
        <v>0</v>
      </c>
      <c r="J725">
        <v>337.5</v>
      </c>
    </row>
    <row r="726" spans="1:10" x14ac:dyDescent="0.3">
      <c r="A726">
        <v>10729</v>
      </c>
      <c r="B726" s="1">
        <v>46013</v>
      </c>
      <c r="C726" t="s">
        <v>161</v>
      </c>
      <c r="D726" t="s">
        <v>20</v>
      </c>
      <c r="E726" t="s">
        <v>12</v>
      </c>
      <c r="F726" t="s">
        <v>36</v>
      </c>
      <c r="G726">
        <v>2</v>
      </c>
      <c r="H726">
        <v>425</v>
      </c>
      <c r="I726">
        <v>0.15</v>
      </c>
      <c r="J726">
        <v>150</v>
      </c>
    </row>
    <row r="727" spans="1:10" x14ac:dyDescent="0.3">
      <c r="A727">
        <v>10730</v>
      </c>
      <c r="B727" s="1">
        <v>45996</v>
      </c>
      <c r="C727" t="s">
        <v>117</v>
      </c>
      <c r="D727" t="s">
        <v>15</v>
      </c>
      <c r="E727" t="s">
        <v>16</v>
      </c>
      <c r="F727" t="s">
        <v>18</v>
      </c>
      <c r="G727">
        <v>5</v>
      </c>
      <c r="H727">
        <v>67500</v>
      </c>
      <c r="I727">
        <v>0.1</v>
      </c>
      <c r="J727">
        <v>13500</v>
      </c>
    </row>
    <row r="728" spans="1:10" x14ac:dyDescent="0.3">
      <c r="A728">
        <v>10731</v>
      </c>
      <c r="B728" s="1">
        <v>45718</v>
      </c>
      <c r="C728" t="s">
        <v>125</v>
      </c>
      <c r="D728" t="s">
        <v>26</v>
      </c>
      <c r="E728" t="s">
        <v>27</v>
      </c>
      <c r="F728" t="s">
        <v>18</v>
      </c>
      <c r="G728">
        <v>3</v>
      </c>
      <c r="H728">
        <v>11475</v>
      </c>
      <c r="I728">
        <v>0.15</v>
      </c>
      <c r="J728">
        <v>405</v>
      </c>
    </row>
    <row r="729" spans="1:10" x14ac:dyDescent="0.3">
      <c r="A729">
        <v>10732</v>
      </c>
      <c r="B729" s="1">
        <v>45840</v>
      </c>
      <c r="C729" t="s">
        <v>104</v>
      </c>
      <c r="D729" t="s">
        <v>26</v>
      </c>
      <c r="E729" t="s">
        <v>27</v>
      </c>
      <c r="F729" t="s">
        <v>13</v>
      </c>
      <c r="G729">
        <v>3</v>
      </c>
      <c r="H729">
        <v>10800</v>
      </c>
      <c r="I729">
        <v>0.2</v>
      </c>
      <c r="J729">
        <v>-270</v>
      </c>
    </row>
    <row r="730" spans="1:10" x14ac:dyDescent="0.3">
      <c r="A730">
        <v>10733</v>
      </c>
      <c r="B730" s="1">
        <v>45707</v>
      </c>
      <c r="C730" t="s">
        <v>28</v>
      </c>
      <c r="D730" t="s">
        <v>15</v>
      </c>
      <c r="E730" t="s">
        <v>16</v>
      </c>
      <c r="F730" t="s">
        <v>21</v>
      </c>
      <c r="G730">
        <v>3</v>
      </c>
      <c r="H730">
        <v>40500</v>
      </c>
      <c r="I730">
        <v>0.1</v>
      </c>
      <c r="J730">
        <v>8100</v>
      </c>
    </row>
    <row r="731" spans="1:10" x14ac:dyDescent="0.3">
      <c r="A731">
        <v>10734</v>
      </c>
      <c r="B731" s="1">
        <v>45671</v>
      </c>
      <c r="C731" t="s">
        <v>146</v>
      </c>
      <c r="D731" t="s">
        <v>41</v>
      </c>
      <c r="E731" t="s">
        <v>27</v>
      </c>
      <c r="F731" t="s">
        <v>36</v>
      </c>
      <c r="G731">
        <v>2</v>
      </c>
      <c r="H731">
        <v>93500</v>
      </c>
      <c r="I731">
        <v>0.15</v>
      </c>
      <c r="J731">
        <v>3300</v>
      </c>
    </row>
    <row r="732" spans="1:10" x14ac:dyDescent="0.3">
      <c r="A732">
        <v>10735</v>
      </c>
      <c r="B732" s="1">
        <v>45867</v>
      </c>
      <c r="C732" t="s">
        <v>150</v>
      </c>
      <c r="D732" t="s">
        <v>30</v>
      </c>
      <c r="E732" t="s">
        <v>27</v>
      </c>
      <c r="F732" t="s">
        <v>36</v>
      </c>
      <c r="G732">
        <v>3</v>
      </c>
      <c r="H732">
        <v>76500</v>
      </c>
      <c r="I732">
        <v>0.15</v>
      </c>
      <c r="J732">
        <v>2700</v>
      </c>
    </row>
    <row r="733" spans="1:10" x14ac:dyDescent="0.3">
      <c r="A733">
        <v>10736</v>
      </c>
      <c r="B733" s="1">
        <v>45716</v>
      </c>
      <c r="C733" t="s">
        <v>38</v>
      </c>
      <c r="D733" t="s">
        <v>15</v>
      </c>
      <c r="E733" t="s">
        <v>16</v>
      </c>
      <c r="F733" t="s">
        <v>13</v>
      </c>
      <c r="G733">
        <v>4</v>
      </c>
      <c r="H733">
        <v>54000</v>
      </c>
      <c r="I733">
        <v>0.1</v>
      </c>
      <c r="J733">
        <v>10800</v>
      </c>
    </row>
    <row r="734" spans="1:10" x14ac:dyDescent="0.3">
      <c r="A734">
        <v>10737</v>
      </c>
      <c r="B734" s="1">
        <v>45978</v>
      </c>
      <c r="C734" t="s">
        <v>121</v>
      </c>
      <c r="D734" t="s">
        <v>20</v>
      </c>
      <c r="E734" t="s">
        <v>12</v>
      </c>
      <c r="F734" t="s">
        <v>36</v>
      </c>
      <c r="G734">
        <v>2</v>
      </c>
      <c r="H734">
        <v>450</v>
      </c>
      <c r="I734">
        <v>0.1</v>
      </c>
      <c r="J734">
        <v>175</v>
      </c>
    </row>
    <row r="735" spans="1:10" x14ac:dyDescent="0.3">
      <c r="A735">
        <v>10738</v>
      </c>
      <c r="B735" s="1">
        <v>45871</v>
      </c>
      <c r="C735" t="s">
        <v>159</v>
      </c>
      <c r="D735" t="s">
        <v>17</v>
      </c>
      <c r="E735" t="s">
        <v>16</v>
      </c>
      <c r="F735" t="s">
        <v>21</v>
      </c>
      <c r="G735">
        <v>1</v>
      </c>
      <c r="H735">
        <v>12000</v>
      </c>
      <c r="I735">
        <v>0</v>
      </c>
      <c r="J735">
        <v>3360</v>
      </c>
    </row>
    <row r="736" spans="1:10" x14ac:dyDescent="0.3">
      <c r="A736">
        <v>10739</v>
      </c>
      <c r="B736" s="1">
        <v>45716</v>
      </c>
      <c r="C736" t="s">
        <v>88</v>
      </c>
      <c r="D736" t="s">
        <v>30</v>
      </c>
      <c r="E736" t="s">
        <v>27</v>
      </c>
      <c r="F736" t="s">
        <v>36</v>
      </c>
      <c r="G736">
        <v>4</v>
      </c>
      <c r="H736">
        <v>102000</v>
      </c>
      <c r="I736">
        <v>0.15</v>
      </c>
      <c r="J736">
        <v>3600</v>
      </c>
    </row>
    <row r="737" spans="1:10" x14ac:dyDescent="0.3">
      <c r="A737">
        <v>10740</v>
      </c>
      <c r="B737" s="1">
        <v>45788</v>
      </c>
      <c r="C737" t="s">
        <v>45</v>
      </c>
      <c r="D737" t="s">
        <v>52</v>
      </c>
      <c r="E737" t="s">
        <v>24</v>
      </c>
      <c r="F737" t="s">
        <v>21</v>
      </c>
      <c r="G737">
        <v>4</v>
      </c>
      <c r="H737">
        <v>5400</v>
      </c>
      <c r="I737">
        <v>0.25</v>
      </c>
      <c r="J737">
        <v>720</v>
      </c>
    </row>
    <row r="738" spans="1:10" x14ac:dyDescent="0.3">
      <c r="A738">
        <v>10741</v>
      </c>
      <c r="B738" s="1">
        <v>45979</v>
      </c>
      <c r="C738" t="s">
        <v>46</v>
      </c>
      <c r="D738" t="s">
        <v>30</v>
      </c>
      <c r="E738" t="s">
        <v>27</v>
      </c>
      <c r="F738" t="s">
        <v>21</v>
      </c>
      <c r="G738">
        <v>5</v>
      </c>
      <c r="H738">
        <v>120000</v>
      </c>
      <c r="I738">
        <v>0.2</v>
      </c>
      <c r="J738">
        <v>-3000</v>
      </c>
    </row>
    <row r="739" spans="1:10" x14ac:dyDescent="0.3">
      <c r="A739">
        <v>10742</v>
      </c>
      <c r="B739" s="1">
        <v>45956</v>
      </c>
      <c r="C739" t="s">
        <v>77</v>
      </c>
      <c r="D739" t="s">
        <v>34</v>
      </c>
      <c r="E739" t="s">
        <v>24</v>
      </c>
      <c r="F739" t="s">
        <v>18</v>
      </c>
      <c r="G739">
        <v>3</v>
      </c>
      <c r="H739">
        <v>5940</v>
      </c>
      <c r="I739">
        <v>0.1</v>
      </c>
      <c r="J739">
        <v>1650</v>
      </c>
    </row>
    <row r="740" spans="1:10" x14ac:dyDescent="0.3">
      <c r="A740">
        <v>10743</v>
      </c>
      <c r="B740" s="1">
        <v>45866</v>
      </c>
      <c r="C740" t="s">
        <v>135</v>
      </c>
      <c r="D740" t="s">
        <v>52</v>
      </c>
      <c r="E740" t="s">
        <v>24</v>
      </c>
      <c r="F740" t="s">
        <v>18</v>
      </c>
      <c r="G740">
        <v>5</v>
      </c>
      <c r="H740">
        <v>8100</v>
      </c>
      <c r="I740">
        <v>0.1</v>
      </c>
      <c r="J740">
        <v>2250</v>
      </c>
    </row>
    <row r="741" spans="1:10" x14ac:dyDescent="0.3">
      <c r="A741">
        <v>10744</v>
      </c>
      <c r="B741" s="1">
        <v>45702</v>
      </c>
      <c r="C741" t="s">
        <v>14</v>
      </c>
      <c r="D741" t="s">
        <v>17</v>
      </c>
      <c r="E741" t="s">
        <v>16</v>
      </c>
      <c r="F741" t="s">
        <v>18</v>
      </c>
      <c r="G741">
        <v>3</v>
      </c>
      <c r="H741">
        <v>34200</v>
      </c>
      <c r="I741">
        <v>0.05</v>
      </c>
      <c r="J741">
        <v>8280</v>
      </c>
    </row>
    <row r="742" spans="1:10" x14ac:dyDescent="0.3">
      <c r="A742">
        <v>10745</v>
      </c>
      <c r="B742" s="1">
        <v>45950</v>
      </c>
      <c r="C742" t="s">
        <v>141</v>
      </c>
      <c r="D742" t="s">
        <v>23</v>
      </c>
      <c r="E742" t="s">
        <v>24</v>
      </c>
      <c r="F742" t="s">
        <v>13</v>
      </c>
      <c r="G742">
        <v>3</v>
      </c>
      <c r="H742">
        <v>3420</v>
      </c>
      <c r="I742">
        <v>0.05</v>
      </c>
      <c r="J742">
        <v>1080</v>
      </c>
    </row>
    <row r="743" spans="1:10" x14ac:dyDescent="0.3">
      <c r="A743">
        <v>10746</v>
      </c>
      <c r="B743" s="1">
        <v>45933</v>
      </c>
      <c r="C743" t="s">
        <v>37</v>
      </c>
      <c r="D743" t="s">
        <v>52</v>
      </c>
      <c r="E743" t="s">
        <v>24</v>
      </c>
      <c r="F743" t="s">
        <v>36</v>
      </c>
      <c r="G743">
        <v>5</v>
      </c>
      <c r="H743">
        <v>9000</v>
      </c>
      <c r="I743">
        <v>0</v>
      </c>
      <c r="J743">
        <v>3150</v>
      </c>
    </row>
    <row r="744" spans="1:10" x14ac:dyDescent="0.3">
      <c r="A744">
        <v>10747</v>
      </c>
      <c r="B744" s="1">
        <v>45721</v>
      </c>
      <c r="C744" t="s">
        <v>60</v>
      </c>
      <c r="D744" t="s">
        <v>15</v>
      </c>
      <c r="E744" t="s">
        <v>16</v>
      </c>
      <c r="F744" t="s">
        <v>21</v>
      </c>
      <c r="G744">
        <v>4</v>
      </c>
      <c r="H744">
        <v>51000</v>
      </c>
      <c r="I744">
        <v>0.15</v>
      </c>
      <c r="J744">
        <v>7800</v>
      </c>
    </row>
    <row r="745" spans="1:10" x14ac:dyDescent="0.3">
      <c r="A745">
        <v>10748</v>
      </c>
      <c r="B745" s="1">
        <v>45728</v>
      </c>
      <c r="C745" t="s">
        <v>48</v>
      </c>
      <c r="D745" t="s">
        <v>26</v>
      </c>
      <c r="E745" t="s">
        <v>27</v>
      </c>
      <c r="F745" t="s">
        <v>21</v>
      </c>
      <c r="G745">
        <v>3</v>
      </c>
      <c r="H745">
        <v>11475</v>
      </c>
      <c r="I745">
        <v>0.15</v>
      </c>
      <c r="J745">
        <v>405</v>
      </c>
    </row>
    <row r="746" spans="1:10" x14ac:dyDescent="0.3">
      <c r="A746">
        <v>10749</v>
      </c>
      <c r="B746" s="1">
        <v>46015</v>
      </c>
      <c r="C746" t="s">
        <v>90</v>
      </c>
      <c r="D746" t="s">
        <v>30</v>
      </c>
      <c r="E746" t="s">
        <v>27</v>
      </c>
      <c r="F746" t="s">
        <v>18</v>
      </c>
      <c r="G746">
        <v>3</v>
      </c>
      <c r="H746">
        <v>81000</v>
      </c>
      <c r="I746">
        <v>0.1</v>
      </c>
      <c r="J746">
        <v>7200</v>
      </c>
    </row>
    <row r="747" spans="1:10" x14ac:dyDescent="0.3">
      <c r="A747">
        <v>10750</v>
      </c>
      <c r="B747" s="1">
        <v>45950</v>
      </c>
      <c r="C747" t="s">
        <v>177</v>
      </c>
      <c r="D747" t="s">
        <v>17</v>
      </c>
      <c r="E747" t="s">
        <v>16</v>
      </c>
      <c r="F747" t="s">
        <v>13</v>
      </c>
      <c r="G747">
        <v>5</v>
      </c>
      <c r="H747">
        <v>54000</v>
      </c>
      <c r="I747">
        <v>0.1</v>
      </c>
      <c r="J747">
        <v>10800</v>
      </c>
    </row>
    <row r="748" spans="1:10" x14ac:dyDescent="0.3">
      <c r="A748">
        <v>10751</v>
      </c>
      <c r="B748" s="1">
        <v>46017</v>
      </c>
      <c r="C748" t="s">
        <v>39</v>
      </c>
      <c r="D748" t="s">
        <v>52</v>
      </c>
      <c r="E748" t="s">
        <v>24</v>
      </c>
      <c r="F748" t="s">
        <v>21</v>
      </c>
      <c r="G748">
        <v>4</v>
      </c>
      <c r="H748">
        <v>6840</v>
      </c>
      <c r="I748">
        <v>0.05</v>
      </c>
      <c r="J748">
        <v>2160</v>
      </c>
    </row>
    <row r="749" spans="1:10" x14ac:dyDescent="0.3">
      <c r="A749">
        <v>10752</v>
      </c>
      <c r="B749" s="1">
        <v>45717</v>
      </c>
      <c r="C749" t="s">
        <v>90</v>
      </c>
      <c r="D749" t="s">
        <v>52</v>
      </c>
      <c r="E749" t="s">
        <v>24</v>
      </c>
      <c r="F749" t="s">
        <v>36</v>
      </c>
      <c r="G749">
        <v>5</v>
      </c>
      <c r="H749">
        <v>8550</v>
      </c>
      <c r="I749">
        <v>0.05</v>
      </c>
      <c r="J749">
        <v>2700</v>
      </c>
    </row>
    <row r="750" spans="1:10" x14ac:dyDescent="0.3">
      <c r="A750">
        <v>10753</v>
      </c>
      <c r="B750" s="1">
        <v>45693</v>
      </c>
      <c r="C750" t="s">
        <v>83</v>
      </c>
      <c r="D750" t="s">
        <v>41</v>
      </c>
      <c r="E750" t="s">
        <v>27</v>
      </c>
      <c r="F750" t="s">
        <v>21</v>
      </c>
      <c r="G750">
        <v>4</v>
      </c>
      <c r="H750">
        <v>187000</v>
      </c>
      <c r="I750">
        <v>0.15</v>
      </c>
      <c r="J750">
        <v>6600</v>
      </c>
    </row>
    <row r="751" spans="1:10" x14ac:dyDescent="0.3">
      <c r="A751">
        <v>10754</v>
      </c>
      <c r="B751" s="1">
        <v>45823</v>
      </c>
      <c r="C751" t="s">
        <v>101</v>
      </c>
      <c r="D751" t="s">
        <v>20</v>
      </c>
      <c r="E751" t="s">
        <v>12</v>
      </c>
      <c r="F751" t="s">
        <v>18</v>
      </c>
      <c r="G751">
        <v>4</v>
      </c>
      <c r="H751">
        <v>1000</v>
      </c>
      <c r="I751">
        <v>0</v>
      </c>
      <c r="J751">
        <v>450</v>
      </c>
    </row>
    <row r="752" spans="1:10" x14ac:dyDescent="0.3">
      <c r="A752">
        <v>10755</v>
      </c>
      <c r="B752" s="1">
        <v>45668</v>
      </c>
      <c r="C752" t="s">
        <v>71</v>
      </c>
      <c r="D752" t="s">
        <v>52</v>
      </c>
      <c r="E752" t="s">
        <v>24</v>
      </c>
      <c r="F752" t="s">
        <v>18</v>
      </c>
      <c r="G752">
        <v>2</v>
      </c>
      <c r="H752">
        <v>3060</v>
      </c>
      <c r="I752">
        <v>0.15</v>
      </c>
      <c r="J752">
        <v>720</v>
      </c>
    </row>
    <row r="753" spans="1:10" x14ac:dyDescent="0.3">
      <c r="A753">
        <v>10756</v>
      </c>
      <c r="B753" s="1">
        <v>45895</v>
      </c>
      <c r="C753" t="s">
        <v>161</v>
      </c>
      <c r="D753" t="s">
        <v>15</v>
      </c>
      <c r="E753" t="s">
        <v>16</v>
      </c>
      <c r="F753" t="s">
        <v>18</v>
      </c>
      <c r="G753">
        <v>2</v>
      </c>
      <c r="H753">
        <v>27000</v>
      </c>
      <c r="I753">
        <v>0.1</v>
      </c>
      <c r="J753">
        <v>5400</v>
      </c>
    </row>
    <row r="754" spans="1:10" x14ac:dyDescent="0.3">
      <c r="A754">
        <v>10757</v>
      </c>
      <c r="B754" s="1">
        <v>45880</v>
      </c>
      <c r="C754" t="s">
        <v>133</v>
      </c>
      <c r="D754" t="s">
        <v>11</v>
      </c>
      <c r="E754" t="s">
        <v>12</v>
      </c>
      <c r="F754" t="s">
        <v>36</v>
      </c>
      <c r="G754">
        <v>1</v>
      </c>
      <c r="H754">
        <v>162</v>
      </c>
      <c r="I754">
        <v>0.1</v>
      </c>
      <c r="J754">
        <v>63</v>
      </c>
    </row>
    <row r="755" spans="1:10" x14ac:dyDescent="0.3">
      <c r="A755">
        <v>10758</v>
      </c>
      <c r="B755" s="1">
        <v>45922</v>
      </c>
      <c r="C755" t="s">
        <v>143</v>
      </c>
      <c r="D755" t="s">
        <v>34</v>
      </c>
      <c r="E755" t="s">
        <v>24</v>
      </c>
      <c r="F755" t="s">
        <v>13</v>
      </c>
      <c r="G755">
        <v>5</v>
      </c>
      <c r="H755">
        <v>9900</v>
      </c>
      <c r="I755">
        <v>0.1</v>
      </c>
      <c r="J755">
        <v>2750</v>
      </c>
    </row>
    <row r="756" spans="1:10" x14ac:dyDescent="0.3">
      <c r="A756">
        <v>10759</v>
      </c>
      <c r="B756" s="1">
        <v>45763</v>
      </c>
      <c r="C756" t="s">
        <v>22</v>
      </c>
      <c r="D756" t="s">
        <v>23</v>
      </c>
      <c r="E756" t="s">
        <v>24</v>
      </c>
      <c r="F756" t="s">
        <v>36</v>
      </c>
      <c r="G756">
        <v>2</v>
      </c>
      <c r="H756">
        <v>2040</v>
      </c>
      <c r="I756">
        <v>0.15</v>
      </c>
      <c r="J756">
        <v>480</v>
      </c>
    </row>
    <row r="757" spans="1:10" x14ac:dyDescent="0.3">
      <c r="A757">
        <v>10760</v>
      </c>
      <c r="B757" s="1">
        <v>45697</v>
      </c>
      <c r="C757" t="s">
        <v>58</v>
      </c>
      <c r="D757" t="s">
        <v>11</v>
      </c>
      <c r="E757" t="s">
        <v>12</v>
      </c>
      <c r="F757" t="s">
        <v>21</v>
      </c>
      <c r="G757">
        <v>5</v>
      </c>
      <c r="H757">
        <v>675</v>
      </c>
      <c r="I757">
        <v>0.25</v>
      </c>
      <c r="J757">
        <v>180</v>
      </c>
    </row>
    <row r="758" spans="1:10" x14ac:dyDescent="0.3">
      <c r="A758">
        <v>10761</v>
      </c>
      <c r="B758" s="1">
        <v>45858</v>
      </c>
      <c r="C758" t="s">
        <v>131</v>
      </c>
      <c r="D758" t="s">
        <v>15</v>
      </c>
      <c r="E758" t="s">
        <v>16</v>
      </c>
      <c r="F758" t="s">
        <v>18</v>
      </c>
      <c r="G758">
        <v>2</v>
      </c>
      <c r="H758">
        <v>27000</v>
      </c>
      <c r="I758">
        <v>0.1</v>
      </c>
      <c r="J758">
        <v>5400</v>
      </c>
    </row>
    <row r="759" spans="1:10" x14ac:dyDescent="0.3">
      <c r="A759">
        <v>10762</v>
      </c>
      <c r="B759" s="1">
        <v>45906</v>
      </c>
      <c r="C759" t="s">
        <v>42</v>
      </c>
      <c r="D759" t="s">
        <v>20</v>
      </c>
      <c r="E759" t="s">
        <v>12</v>
      </c>
      <c r="F759" t="s">
        <v>21</v>
      </c>
      <c r="G759">
        <v>3</v>
      </c>
      <c r="H759">
        <v>637.5</v>
      </c>
      <c r="I759">
        <v>0.15</v>
      </c>
      <c r="J759">
        <v>225</v>
      </c>
    </row>
    <row r="760" spans="1:10" x14ac:dyDescent="0.3">
      <c r="A760">
        <v>10763</v>
      </c>
      <c r="B760" s="1">
        <v>45881</v>
      </c>
      <c r="C760" t="s">
        <v>80</v>
      </c>
      <c r="D760" t="s">
        <v>11</v>
      </c>
      <c r="E760" t="s">
        <v>12</v>
      </c>
      <c r="F760" t="s">
        <v>18</v>
      </c>
      <c r="G760">
        <v>4</v>
      </c>
      <c r="H760">
        <v>648</v>
      </c>
      <c r="I760">
        <v>0.1</v>
      </c>
      <c r="J760">
        <v>252</v>
      </c>
    </row>
    <row r="761" spans="1:10" x14ac:dyDescent="0.3">
      <c r="A761">
        <v>10764</v>
      </c>
      <c r="B761" s="1">
        <v>45734</v>
      </c>
      <c r="C761" t="s">
        <v>45</v>
      </c>
      <c r="D761" t="s">
        <v>41</v>
      </c>
      <c r="E761" t="s">
        <v>27</v>
      </c>
      <c r="F761" t="s">
        <v>21</v>
      </c>
      <c r="G761">
        <v>1</v>
      </c>
      <c r="H761">
        <v>55000</v>
      </c>
      <c r="I761">
        <v>0</v>
      </c>
      <c r="J761">
        <v>9900</v>
      </c>
    </row>
    <row r="762" spans="1:10" x14ac:dyDescent="0.3">
      <c r="A762">
        <v>10765</v>
      </c>
      <c r="B762" s="1">
        <v>45729</v>
      </c>
      <c r="C762" t="s">
        <v>117</v>
      </c>
      <c r="D762" t="s">
        <v>20</v>
      </c>
      <c r="E762" t="s">
        <v>12</v>
      </c>
      <c r="F762" t="s">
        <v>13</v>
      </c>
      <c r="G762">
        <v>4</v>
      </c>
      <c r="H762">
        <v>750</v>
      </c>
      <c r="I762">
        <v>0.25</v>
      </c>
      <c r="J762">
        <v>200</v>
      </c>
    </row>
    <row r="763" spans="1:10" x14ac:dyDescent="0.3">
      <c r="A763">
        <v>10766</v>
      </c>
      <c r="B763" s="1">
        <v>45788</v>
      </c>
      <c r="C763" t="s">
        <v>77</v>
      </c>
      <c r="D763" t="s">
        <v>20</v>
      </c>
      <c r="E763" t="s">
        <v>12</v>
      </c>
      <c r="F763" t="s">
        <v>18</v>
      </c>
      <c r="G763">
        <v>4</v>
      </c>
      <c r="H763">
        <v>1000</v>
      </c>
      <c r="I763">
        <v>0</v>
      </c>
      <c r="J763">
        <v>450</v>
      </c>
    </row>
    <row r="764" spans="1:10" x14ac:dyDescent="0.3">
      <c r="A764">
        <v>10767</v>
      </c>
      <c r="B764" s="1">
        <v>45689</v>
      </c>
      <c r="C764" t="s">
        <v>161</v>
      </c>
      <c r="D764" t="s">
        <v>20</v>
      </c>
      <c r="E764" t="s">
        <v>12</v>
      </c>
      <c r="F764" t="s">
        <v>21</v>
      </c>
      <c r="G764">
        <v>1</v>
      </c>
      <c r="H764">
        <v>212.5</v>
      </c>
      <c r="I764">
        <v>0.15</v>
      </c>
      <c r="J764">
        <v>75</v>
      </c>
    </row>
    <row r="765" spans="1:10" x14ac:dyDescent="0.3">
      <c r="A765">
        <v>10768</v>
      </c>
      <c r="B765" s="1">
        <v>45972</v>
      </c>
      <c r="C765" t="s">
        <v>123</v>
      </c>
      <c r="D765" t="s">
        <v>26</v>
      </c>
      <c r="E765" t="s">
        <v>27</v>
      </c>
      <c r="F765" t="s">
        <v>13</v>
      </c>
      <c r="G765">
        <v>3</v>
      </c>
      <c r="H765">
        <v>12825</v>
      </c>
      <c r="I765">
        <v>0.05</v>
      </c>
      <c r="J765">
        <v>1755</v>
      </c>
    </row>
    <row r="766" spans="1:10" x14ac:dyDescent="0.3">
      <c r="A766">
        <v>10769</v>
      </c>
      <c r="B766" s="1">
        <v>45944</v>
      </c>
      <c r="C766" t="s">
        <v>87</v>
      </c>
      <c r="D766" t="s">
        <v>15</v>
      </c>
      <c r="E766" t="s">
        <v>16</v>
      </c>
      <c r="F766" t="s">
        <v>36</v>
      </c>
      <c r="G766">
        <v>4</v>
      </c>
      <c r="H766">
        <v>51000</v>
      </c>
      <c r="I766">
        <v>0.15</v>
      </c>
      <c r="J766">
        <v>7800</v>
      </c>
    </row>
    <row r="767" spans="1:10" x14ac:dyDescent="0.3">
      <c r="A767">
        <v>10770</v>
      </c>
      <c r="B767" s="1">
        <v>45784</v>
      </c>
      <c r="C767" t="s">
        <v>136</v>
      </c>
      <c r="D767" t="s">
        <v>20</v>
      </c>
      <c r="E767" t="s">
        <v>12</v>
      </c>
      <c r="F767" t="s">
        <v>13</v>
      </c>
      <c r="G767">
        <v>4</v>
      </c>
      <c r="H767">
        <v>1000</v>
      </c>
      <c r="I767">
        <v>0</v>
      </c>
      <c r="J767">
        <v>450</v>
      </c>
    </row>
    <row r="768" spans="1:10" x14ac:dyDescent="0.3">
      <c r="A768">
        <v>10771</v>
      </c>
      <c r="B768" s="1">
        <v>45930</v>
      </c>
      <c r="C768" t="s">
        <v>19</v>
      </c>
      <c r="D768" t="s">
        <v>17</v>
      </c>
      <c r="E768" t="s">
        <v>16</v>
      </c>
      <c r="F768" t="s">
        <v>18</v>
      </c>
      <c r="G768">
        <v>4</v>
      </c>
      <c r="H768">
        <v>40800</v>
      </c>
      <c r="I768">
        <v>0.15</v>
      </c>
      <c r="J768">
        <v>6240</v>
      </c>
    </row>
    <row r="769" spans="1:10" x14ac:dyDescent="0.3">
      <c r="A769">
        <v>10772</v>
      </c>
      <c r="B769" s="1">
        <v>45831</v>
      </c>
      <c r="C769" t="s">
        <v>10</v>
      </c>
      <c r="D769" t="s">
        <v>30</v>
      </c>
      <c r="E769" t="s">
        <v>27</v>
      </c>
      <c r="F769" t="s">
        <v>18</v>
      </c>
      <c r="G769">
        <v>3</v>
      </c>
      <c r="H769">
        <v>90000</v>
      </c>
      <c r="I769">
        <v>0</v>
      </c>
      <c r="J769">
        <v>16200</v>
      </c>
    </row>
    <row r="770" spans="1:10" x14ac:dyDescent="0.3">
      <c r="A770">
        <v>10773</v>
      </c>
      <c r="B770" s="1">
        <v>45886</v>
      </c>
      <c r="C770" t="s">
        <v>103</v>
      </c>
      <c r="D770" t="s">
        <v>34</v>
      </c>
      <c r="E770" t="s">
        <v>24</v>
      </c>
      <c r="F770" t="s">
        <v>36</v>
      </c>
      <c r="G770">
        <v>3</v>
      </c>
      <c r="H770">
        <v>5940</v>
      </c>
      <c r="I770">
        <v>0.1</v>
      </c>
      <c r="J770">
        <v>1650</v>
      </c>
    </row>
    <row r="771" spans="1:10" x14ac:dyDescent="0.3">
      <c r="A771">
        <v>10774</v>
      </c>
      <c r="B771" s="1">
        <v>45943</v>
      </c>
      <c r="C771" t="s">
        <v>50</v>
      </c>
      <c r="D771" t="s">
        <v>30</v>
      </c>
      <c r="E771" t="s">
        <v>27</v>
      </c>
      <c r="F771" t="s">
        <v>13</v>
      </c>
      <c r="G771">
        <v>2</v>
      </c>
      <c r="H771">
        <v>54000</v>
      </c>
      <c r="I771">
        <v>0.1</v>
      </c>
      <c r="J771">
        <v>4800</v>
      </c>
    </row>
    <row r="772" spans="1:10" x14ac:dyDescent="0.3">
      <c r="A772">
        <v>10775</v>
      </c>
      <c r="B772" s="1">
        <v>45995</v>
      </c>
      <c r="C772" t="s">
        <v>92</v>
      </c>
      <c r="D772" t="s">
        <v>30</v>
      </c>
      <c r="E772" t="s">
        <v>27</v>
      </c>
      <c r="F772" t="s">
        <v>36</v>
      </c>
      <c r="G772">
        <v>5</v>
      </c>
      <c r="H772">
        <v>127500</v>
      </c>
      <c r="I772">
        <v>0.15</v>
      </c>
      <c r="J772">
        <v>4500</v>
      </c>
    </row>
    <row r="773" spans="1:10" x14ac:dyDescent="0.3">
      <c r="A773">
        <v>10776</v>
      </c>
      <c r="B773" s="1">
        <v>45994</v>
      </c>
      <c r="C773" t="s">
        <v>63</v>
      </c>
      <c r="D773" t="s">
        <v>15</v>
      </c>
      <c r="E773" t="s">
        <v>16</v>
      </c>
      <c r="F773" t="s">
        <v>36</v>
      </c>
      <c r="G773">
        <v>5</v>
      </c>
      <c r="H773">
        <v>75000</v>
      </c>
      <c r="I773">
        <v>0</v>
      </c>
      <c r="J773">
        <v>21000</v>
      </c>
    </row>
    <row r="774" spans="1:10" x14ac:dyDescent="0.3">
      <c r="A774">
        <v>10777</v>
      </c>
      <c r="B774" s="1">
        <v>45710</v>
      </c>
      <c r="C774" t="s">
        <v>135</v>
      </c>
      <c r="D774" t="s">
        <v>23</v>
      </c>
      <c r="E774" t="s">
        <v>24</v>
      </c>
      <c r="F774" t="s">
        <v>18</v>
      </c>
      <c r="G774">
        <v>4</v>
      </c>
      <c r="H774">
        <v>4320</v>
      </c>
      <c r="I774">
        <v>0.1</v>
      </c>
      <c r="J774">
        <v>1200</v>
      </c>
    </row>
    <row r="775" spans="1:10" x14ac:dyDescent="0.3">
      <c r="A775">
        <v>10778</v>
      </c>
      <c r="B775" s="1">
        <v>45839</v>
      </c>
      <c r="C775" t="s">
        <v>69</v>
      </c>
      <c r="D775" t="s">
        <v>41</v>
      </c>
      <c r="E775" t="s">
        <v>27</v>
      </c>
      <c r="F775" t="s">
        <v>13</v>
      </c>
      <c r="G775">
        <v>1</v>
      </c>
      <c r="H775">
        <v>49500</v>
      </c>
      <c r="I775">
        <v>0.1</v>
      </c>
      <c r="J775">
        <v>4400</v>
      </c>
    </row>
    <row r="776" spans="1:10" x14ac:dyDescent="0.3">
      <c r="A776">
        <v>10779</v>
      </c>
      <c r="B776" s="1">
        <v>45922</v>
      </c>
      <c r="C776" t="s">
        <v>146</v>
      </c>
      <c r="D776" t="s">
        <v>26</v>
      </c>
      <c r="E776" t="s">
        <v>27</v>
      </c>
      <c r="F776" t="s">
        <v>36</v>
      </c>
      <c r="G776">
        <v>3</v>
      </c>
      <c r="H776">
        <v>12150</v>
      </c>
      <c r="I776">
        <v>0.1</v>
      </c>
      <c r="J776">
        <v>1080</v>
      </c>
    </row>
    <row r="777" spans="1:10" x14ac:dyDescent="0.3">
      <c r="A777">
        <v>10780</v>
      </c>
      <c r="B777" s="1">
        <v>45729</v>
      </c>
      <c r="C777" t="s">
        <v>162</v>
      </c>
      <c r="D777" t="s">
        <v>41</v>
      </c>
      <c r="E777" t="s">
        <v>27</v>
      </c>
      <c r="F777" t="s">
        <v>13</v>
      </c>
      <c r="G777">
        <v>5</v>
      </c>
      <c r="H777">
        <v>275000</v>
      </c>
      <c r="I777">
        <v>0</v>
      </c>
      <c r="J777">
        <v>49500</v>
      </c>
    </row>
    <row r="778" spans="1:10" x14ac:dyDescent="0.3">
      <c r="A778">
        <v>10781</v>
      </c>
      <c r="B778" s="1">
        <v>45796</v>
      </c>
      <c r="C778" t="s">
        <v>50</v>
      </c>
      <c r="D778" t="s">
        <v>52</v>
      </c>
      <c r="E778" t="s">
        <v>24</v>
      </c>
      <c r="F778" t="s">
        <v>36</v>
      </c>
      <c r="G778">
        <v>2</v>
      </c>
      <c r="H778">
        <v>3420</v>
      </c>
      <c r="I778">
        <v>0.05</v>
      </c>
      <c r="J778">
        <v>1080</v>
      </c>
    </row>
    <row r="779" spans="1:10" x14ac:dyDescent="0.3">
      <c r="A779">
        <v>10782</v>
      </c>
      <c r="B779" s="1">
        <v>45878</v>
      </c>
      <c r="C779" t="s">
        <v>112</v>
      </c>
      <c r="D779" t="s">
        <v>41</v>
      </c>
      <c r="E779" t="s">
        <v>27</v>
      </c>
      <c r="F779" t="s">
        <v>18</v>
      </c>
      <c r="G779">
        <v>1</v>
      </c>
      <c r="H779">
        <v>52250</v>
      </c>
      <c r="I779">
        <v>0.05</v>
      </c>
      <c r="J779">
        <v>7150</v>
      </c>
    </row>
    <row r="780" spans="1:10" x14ac:dyDescent="0.3">
      <c r="A780">
        <v>10783</v>
      </c>
      <c r="B780" s="1">
        <v>45849</v>
      </c>
      <c r="C780" t="s">
        <v>65</v>
      </c>
      <c r="D780" t="s">
        <v>11</v>
      </c>
      <c r="E780" t="s">
        <v>12</v>
      </c>
      <c r="F780" t="s">
        <v>18</v>
      </c>
      <c r="G780">
        <v>2</v>
      </c>
      <c r="H780">
        <v>342</v>
      </c>
      <c r="I780">
        <v>0.05</v>
      </c>
      <c r="J780">
        <v>144</v>
      </c>
    </row>
    <row r="781" spans="1:10" x14ac:dyDescent="0.3">
      <c r="A781">
        <v>10784</v>
      </c>
      <c r="B781" s="1">
        <v>45796</v>
      </c>
      <c r="C781" t="s">
        <v>14</v>
      </c>
      <c r="D781" t="s">
        <v>23</v>
      </c>
      <c r="E781" t="s">
        <v>24</v>
      </c>
      <c r="F781" t="s">
        <v>13</v>
      </c>
      <c r="G781">
        <v>1</v>
      </c>
      <c r="H781">
        <v>1140</v>
      </c>
      <c r="I781">
        <v>0.05</v>
      </c>
      <c r="J781">
        <v>360</v>
      </c>
    </row>
    <row r="782" spans="1:10" x14ac:dyDescent="0.3">
      <c r="A782">
        <v>10785</v>
      </c>
      <c r="B782" s="1">
        <v>45761</v>
      </c>
      <c r="C782" t="s">
        <v>109</v>
      </c>
      <c r="D782" t="s">
        <v>15</v>
      </c>
      <c r="E782" t="s">
        <v>16</v>
      </c>
      <c r="F782" t="s">
        <v>36</v>
      </c>
      <c r="G782">
        <v>3</v>
      </c>
      <c r="H782">
        <v>42750</v>
      </c>
      <c r="I782">
        <v>0.05</v>
      </c>
      <c r="J782">
        <v>10350</v>
      </c>
    </row>
    <row r="783" spans="1:10" x14ac:dyDescent="0.3">
      <c r="A783">
        <v>10786</v>
      </c>
      <c r="B783" s="1">
        <v>45685</v>
      </c>
      <c r="C783" t="s">
        <v>113</v>
      </c>
      <c r="D783" t="s">
        <v>41</v>
      </c>
      <c r="E783" t="s">
        <v>27</v>
      </c>
      <c r="F783" t="s">
        <v>36</v>
      </c>
      <c r="G783">
        <v>3</v>
      </c>
      <c r="H783">
        <v>156750</v>
      </c>
      <c r="I783">
        <v>0.05</v>
      </c>
      <c r="J783">
        <v>21450</v>
      </c>
    </row>
    <row r="784" spans="1:10" x14ac:dyDescent="0.3">
      <c r="A784">
        <v>10787</v>
      </c>
      <c r="B784" s="1">
        <v>45871</v>
      </c>
      <c r="C784" t="s">
        <v>88</v>
      </c>
      <c r="D784" t="s">
        <v>15</v>
      </c>
      <c r="E784" t="s">
        <v>16</v>
      </c>
      <c r="F784" t="s">
        <v>18</v>
      </c>
      <c r="G784">
        <v>3</v>
      </c>
      <c r="H784">
        <v>40500</v>
      </c>
      <c r="I784">
        <v>0.1</v>
      </c>
      <c r="J784">
        <v>8100</v>
      </c>
    </row>
    <row r="785" spans="1:10" x14ac:dyDescent="0.3">
      <c r="A785">
        <v>10788</v>
      </c>
      <c r="B785" s="1">
        <v>45945</v>
      </c>
      <c r="C785" t="s">
        <v>175</v>
      </c>
      <c r="D785" t="s">
        <v>34</v>
      </c>
      <c r="E785" t="s">
        <v>24</v>
      </c>
      <c r="F785" t="s">
        <v>18</v>
      </c>
      <c r="G785">
        <v>5</v>
      </c>
      <c r="H785">
        <v>11000</v>
      </c>
      <c r="I785">
        <v>0</v>
      </c>
      <c r="J785">
        <v>3850</v>
      </c>
    </row>
    <row r="786" spans="1:10" x14ac:dyDescent="0.3">
      <c r="A786">
        <v>10789</v>
      </c>
      <c r="B786" s="1">
        <v>45843</v>
      </c>
      <c r="C786" t="s">
        <v>161</v>
      </c>
      <c r="D786" t="s">
        <v>11</v>
      </c>
      <c r="E786" t="s">
        <v>12</v>
      </c>
      <c r="F786" t="s">
        <v>21</v>
      </c>
      <c r="G786">
        <v>4</v>
      </c>
      <c r="H786">
        <v>540</v>
      </c>
      <c r="I786">
        <v>0.25</v>
      </c>
      <c r="J786">
        <v>144</v>
      </c>
    </row>
    <row r="787" spans="1:10" x14ac:dyDescent="0.3">
      <c r="A787">
        <v>10790</v>
      </c>
      <c r="B787" s="1">
        <v>45867</v>
      </c>
      <c r="C787" t="s">
        <v>42</v>
      </c>
      <c r="D787" t="s">
        <v>52</v>
      </c>
      <c r="E787" t="s">
        <v>24</v>
      </c>
      <c r="F787" t="s">
        <v>18</v>
      </c>
      <c r="G787">
        <v>3</v>
      </c>
      <c r="H787">
        <v>4320</v>
      </c>
      <c r="I787">
        <v>0.2</v>
      </c>
      <c r="J787">
        <v>810</v>
      </c>
    </row>
    <row r="788" spans="1:10" x14ac:dyDescent="0.3">
      <c r="A788">
        <v>10791</v>
      </c>
      <c r="B788" s="1">
        <v>45865</v>
      </c>
      <c r="C788" t="s">
        <v>136</v>
      </c>
      <c r="D788" t="s">
        <v>41</v>
      </c>
      <c r="E788" t="s">
        <v>27</v>
      </c>
      <c r="F788" t="s">
        <v>18</v>
      </c>
      <c r="G788">
        <v>4</v>
      </c>
      <c r="H788">
        <v>209000</v>
      </c>
      <c r="I788">
        <v>0.05</v>
      </c>
      <c r="J788">
        <v>28600</v>
      </c>
    </row>
    <row r="789" spans="1:10" x14ac:dyDescent="0.3">
      <c r="A789">
        <v>10792</v>
      </c>
      <c r="B789" s="1">
        <v>45841</v>
      </c>
      <c r="C789" t="s">
        <v>131</v>
      </c>
      <c r="D789" t="s">
        <v>20</v>
      </c>
      <c r="E789" t="s">
        <v>12</v>
      </c>
      <c r="F789" t="s">
        <v>36</v>
      </c>
      <c r="G789">
        <v>4</v>
      </c>
      <c r="H789">
        <v>1000</v>
      </c>
      <c r="I789">
        <v>0</v>
      </c>
      <c r="J789">
        <v>450</v>
      </c>
    </row>
    <row r="790" spans="1:10" x14ac:dyDescent="0.3">
      <c r="A790">
        <v>10793</v>
      </c>
      <c r="B790" s="1">
        <v>45947</v>
      </c>
      <c r="C790" t="s">
        <v>166</v>
      </c>
      <c r="D790" t="s">
        <v>52</v>
      </c>
      <c r="E790" t="s">
        <v>24</v>
      </c>
      <c r="F790" t="s">
        <v>21</v>
      </c>
      <c r="G790">
        <v>5</v>
      </c>
      <c r="H790">
        <v>8100</v>
      </c>
      <c r="I790">
        <v>0.1</v>
      </c>
      <c r="J790">
        <v>2250</v>
      </c>
    </row>
    <row r="791" spans="1:10" x14ac:dyDescent="0.3">
      <c r="A791">
        <v>10794</v>
      </c>
      <c r="B791" s="1">
        <v>46017</v>
      </c>
      <c r="C791" t="s">
        <v>167</v>
      </c>
      <c r="D791" t="s">
        <v>52</v>
      </c>
      <c r="E791" t="s">
        <v>24</v>
      </c>
      <c r="F791" t="s">
        <v>36</v>
      </c>
      <c r="G791">
        <v>2</v>
      </c>
      <c r="H791">
        <v>2880</v>
      </c>
      <c r="I791">
        <v>0.2</v>
      </c>
      <c r="J791">
        <v>540</v>
      </c>
    </row>
    <row r="792" spans="1:10" x14ac:dyDescent="0.3">
      <c r="A792">
        <v>10795</v>
      </c>
      <c r="B792" s="1">
        <v>45940</v>
      </c>
      <c r="C792" t="s">
        <v>53</v>
      </c>
      <c r="D792" t="s">
        <v>26</v>
      </c>
      <c r="E792" t="s">
        <v>27</v>
      </c>
      <c r="F792" t="s">
        <v>36</v>
      </c>
      <c r="G792">
        <v>5</v>
      </c>
      <c r="H792">
        <v>22500</v>
      </c>
      <c r="I792">
        <v>0</v>
      </c>
      <c r="J792">
        <v>4050</v>
      </c>
    </row>
    <row r="793" spans="1:10" x14ac:dyDescent="0.3">
      <c r="A793">
        <v>10796</v>
      </c>
      <c r="B793" s="1">
        <v>45701</v>
      </c>
      <c r="C793" t="s">
        <v>74</v>
      </c>
      <c r="D793" t="s">
        <v>26</v>
      </c>
      <c r="E793" t="s">
        <v>27</v>
      </c>
      <c r="F793" t="s">
        <v>36</v>
      </c>
      <c r="G793">
        <v>4</v>
      </c>
      <c r="H793">
        <v>14400</v>
      </c>
      <c r="I793">
        <v>0.2</v>
      </c>
      <c r="J793">
        <v>-360</v>
      </c>
    </row>
    <row r="794" spans="1:10" x14ac:dyDescent="0.3">
      <c r="A794">
        <v>10797</v>
      </c>
      <c r="B794" s="1">
        <v>45789</v>
      </c>
      <c r="C794" t="s">
        <v>157</v>
      </c>
      <c r="D794" t="s">
        <v>30</v>
      </c>
      <c r="E794" t="s">
        <v>27</v>
      </c>
      <c r="F794" t="s">
        <v>18</v>
      </c>
      <c r="G794">
        <v>2</v>
      </c>
      <c r="H794">
        <v>48000</v>
      </c>
      <c r="I794">
        <v>0.2</v>
      </c>
      <c r="J794">
        <v>-1200</v>
      </c>
    </row>
    <row r="795" spans="1:10" x14ac:dyDescent="0.3">
      <c r="A795">
        <v>10798</v>
      </c>
      <c r="B795" s="1">
        <v>45723</v>
      </c>
      <c r="C795" t="s">
        <v>25</v>
      </c>
      <c r="D795" t="s">
        <v>11</v>
      </c>
      <c r="E795" t="s">
        <v>12</v>
      </c>
      <c r="F795" t="s">
        <v>21</v>
      </c>
      <c r="G795">
        <v>1</v>
      </c>
      <c r="H795">
        <v>162</v>
      </c>
      <c r="I795">
        <v>0.1</v>
      </c>
      <c r="J795">
        <v>63</v>
      </c>
    </row>
    <row r="796" spans="1:10" x14ac:dyDescent="0.3">
      <c r="A796">
        <v>10799</v>
      </c>
      <c r="B796" s="1">
        <v>45773</v>
      </c>
      <c r="C796" t="s">
        <v>63</v>
      </c>
      <c r="D796" t="s">
        <v>15</v>
      </c>
      <c r="E796" t="s">
        <v>16</v>
      </c>
      <c r="F796" t="s">
        <v>21</v>
      </c>
      <c r="G796">
        <v>1</v>
      </c>
      <c r="H796">
        <v>12000</v>
      </c>
      <c r="I796">
        <v>0.2</v>
      </c>
      <c r="J796">
        <v>1200</v>
      </c>
    </row>
    <row r="797" spans="1:10" x14ac:dyDescent="0.3">
      <c r="A797">
        <v>10800</v>
      </c>
      <c r="B797" s="1">
        <v>45959</v>
      </c>
      <c r="C797" t="s">
        <v>117</v>
      </c>
      <c r="D797" t="s">
        <v>34</v>
      </c>
      <c r="E797" t="s">
        <v>24</v>
      </c>
      <c r="F797" t="s">
        <v>13</v>
      </c>
      <c r="G797">
        <v>2</v>
      </c>
      <c r="H797">
        <v>4400</v>
      </c>
      <c r="I797">
        <v>0</v>
      </c>
      <c r="J797">
        <v>1540</v>
      </c>
    </row>
  </sheetData>
  <conditionalFormatting sqref="A801:XFD1048576 A1:XFD797 M798:XFD800">
    <cfRule type="duplicateValues" dxfId="1" priority="1"/>
  </conditionalFormatting>
  <conditionalFormatting sqref="A1:J797">
    <cfRule type="duplicateValues" dxfId="0" priority="1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Dashboard</vt:lpstr>
      <vt:lpstr>retail_sales_detective_raw</vt:lpstr>
      <vt:lpstr>retail_sales_detective_raw!Criteria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</dc:creator>
  <cp:lastModifiedBy>Himanee Thombre</cp:lastModifiedBy>
  <cp:lastPrinted>2026-09-24T14:18:46Z</cp:lastPrinted>
  <dcterms:created xsi:type="dcterms:W3CDTF">2026-09-23T08:47:47Z</dcterms:created>
  <dcterms:modified xsi:type="dcterms:W3CDTF">2026-09-24T17:37:25Z</dcterms:modified>
</cp:coreProperties>
</file>